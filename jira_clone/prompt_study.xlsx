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amoun\Downloads\"/>
    </mc:Choice>
  </mc:AlternateContent>
  <xr:revisionPtr revIDLastSave="0" documentId="13_ncr:1_{F6976044-9F91-4B9C-882F-2FA257B6DB16}" xr6:coauthVersionLast="47" xr6:coauthVersionMax="47" xr10:uidLastSave="{00000000-0000-0000-0000-000000000000}"/>
  <bookViews>
    <workbookView xWindow="-108" yWindow="-108" windowWidth="23256" windowHeight="12720" tabRatio="500" activeTab="2" xr2:uid="{00000000-000D-0000-FFFF-FFFF00000000}"/>
  </bookViews>
  <sheets>
    <sheet name="README" sheetId="1" r:id="rId1"/>
    <sheet name="Groups" sheetId="2" r:id="rId2"/>
    <sheet name="Prompts" sheetId="3" r:id="rId3"/>
    <sheet name="Analysis" sheetId="4"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35" i="4" l="1"/>
  <c r="D35" i="4"/>
  <c r="C35" i="4"/>
  <c r="B35" i="4"/>
  <c r="A35" i="4"/>
  <c r="E34" i="4"/>
  <c r="D34" i="4"/>
  <c r="C34" i="4"/>
  <c r="B34" i="4"/>
  <c r="A34" i="4"/>
  <c r="E33" i="4"/>
  <c r="D33" i="4"/>
  <c r="C33" i="4"/>
  <c r="B33" i="4"/>
  <c r="A33" i="4"/>
  <c r="E32" i="4"/>
  <c r="D32" i="4"/>
  <c r="C32" i="4"/>
  <c r="B32" i="4"/>
  <c r="A32" i="4"/>
  <c r="E31" i="4"/>
  <c r="D31" i="4"/>
  <c r="C31" i="4"/>
  <c r="B31" i="4"/>
  <c r="A31" i="4"/>
  <c r="E30" i="4"/>
  <c r="D30" i="4"/>
  <c r="C30" i="4"/>
  <c r="B30" i="4"/>
  <c r="A30" i="4"/>
  <c r="E29" i="4"/>
  <c r="D29" i="4"/>
  <c r="C29" i="4"/>
  <c r="B29" i="4"/>
  <c r="A29" i="4"/>
  <c r="E28" i="4"/>
  <c r="D28" i="4"/>
  <c r="C28" i="4"/>
  <c r="B28" i="4"/>
  <c r="A28" i="4"/>
  <c r="E27" i="4"/>
  <c r="D27" i="4"/>
  <c r="C27" i="4"/>
  <c r="B27" i="4"/>
  <c r="A27" i="4"/>
  <c r="E26" i="4"/>
  <c r="D26" i="4"/>
  <c r="C26" i="4"/>
  <c r="B26" i="4"/>
  <c r="A26" i="4"/>
  <c r="C20" i="4"/>
  <c r="B20" i="4"/>
  <c r="C19" i="4"/>
  <c r="B19" i="4"/>
  <c r="C18" i="4"/>
  <c r="B18" i="4"/>
  <c r="C17" i="4"/>
  <c r="B17" i="4"/>
  <c r="C16" i="4"/>
  <c r="B16" i="4"/>
  <c r="B11" i="4"/>
  <c r="B10" i="4"/>
  <c r="B9" i="4"/>
  <c r="B8" i="4"/>
  <c r="B7" i="4"/>
  <c r="B6" i="4"/>
  <c r="B5" i="4"/>
  <c r="B4" i="4"/>
  <c r="G13" i="2"/>
  <c r="E13" i="2"/>
  <c r="D13" i="2"/>
  <c r="F13" i="2" s="1"/>
  <c r="G12" i="2"/>
  <c r="E12" i="2"/>
  <c r="D12" i="2"/>
  <c r="F12" i="2" s="1"/>
  <c r="G11" i="2"/>
  <c r="E11" i="2"/>
  <c r="D11" i="2"/>
  <c r="F11" i="2" s="1"/>
  <c r="G10" i="2"/>
  <c r="E10" i="2"/>
  <c r="D10" i="2"/>
  <c r="F10" i="2" s="1"/>
  <c r="G9" i="2"/>
  <c r="E9" i="2"/>
  <c r="D9" i="2"/>
  <c r="F9" i="2" s="1"/>
  <c r="G8" i="2"/>
  <c r="E8" i="2"/>
  <c r="D8" i="2"/>
  <c r="F8" i="2" s="1"/>
  <c r="G7" i="2"/>
  <c r="E7" i="2"/>
  <c r="D7" i="2"/>
  <c r="F7" i="2" s="1"/>
  <c r="E4" i="2"/>
  <c r="D4" i="2"/>
  <c r="G4" i="2" s="1"/>
  <c r="F32" i="4" l="1"/>
  <c r="F30" i="4"/>
  <c r="C21" i="4"/>
  <c r="F31" i="4"/>
  <c r="F28" i="4"/>
  <c r="F33" i="4"/>
  <c r="B21" i="4"/>
  <c r="F27" i="4"/>
  <c r="F26" i="4"/>
  <c r="F34" i="4"/>
  <c r="F4" i="2"/>
  <c r="F35" i="4"/>
  <c r="F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200-000001000000}">
      <text>
        <r>
          <rPr>
            <sz val="10"/>
            <rFont val="Arial"/>
            <family val="2"/>
          </rPr>
          <t>Pick a Group ID from the Groups sheet. A prompt without a Group ID is treated as standalone.</t>
        </r>
      </text>
    </comment>
  </commentList>
</comments>
</file>

<file path=xl/sharedStrings.xml><?xml version="1.0" encoding="utf-8"?>
<sst xmlns="http://schemas.openxmlformats.org/spreadsheetml/2006/main" count="266" uniqueCount="159">
  <si>
    <t>Prompt Study Workbook</t>
  </si>
  <si>
    <t>Purpose</t>
  </si>
  <si>
    <t>Track prompts (individually and grouped) so you can analyse what works.</t>
  </si>
  <si>
    <t>How it's organised</t>
  </si>
  <si>
    <t>Sheet: Groups</t>
  </si>
  <si>
    <t>One row per group. Declare the overall goal of the group. Status and total tokens are computed automatically from the Prompts sheet.</t>
  </si>
  <si>
    <t>Sheet: Prompts</t>
  </si>
  <si>
    <t>One row per prompt. Each prompt belongs to a Group ID, has its own goal, status, and tokens used.</t>
  </si>
  <si>
    <t>Sheet: Analysis</t>
  </si>
  <si>
    <t>Auto-computed summary: counts by status, tokens by group, average tokens, success rate.</t>
  </si>
  <si>
    <t>Workflow</t>
  </si>
  <si>
    <t>1.</t>
  </si>
  <si>
    <t>Add a group in the Groups sheet (Group ID + Group Goal).</t>
  </si>
  <si>
    <t>2.</t>
  </si>
  <si>
    <t>Add prompts in the Prompts sheet, referencing the Group ID.</t>
  </si>
  <si>
    <t>3.</t>
  </si>
  <si>
    <t>Update Status and Tokens Used as you test each prompt.</t>
  </si>
  <si>
    <t>4.</t>
  </si>
  <si>
    <t>Open the Analysis sheet to see roll-ups.</t>
  </si>
  <si>
    <t>Status values</t>
  </si>
  <si>
    <t>Draft, Testing, Success, Failed, Needs Review</t>
  </si>
  <si>
    <t>Tip</t>
  </si>
  <si>
    <t>Group ID and Status fields have dropdowns to keep data clean.</t>
  </si>
  <si>
    <t>Prompt Groups</t>
  </si>
  <si>
    <t>Group ID</t>
  </si>
  <si>
    <t>Group Name</t>
  </si>
  <si>
    <t>Group Goal</t>
  </si>
  <si>
    <t>Prompt Count</t>
  </si>
  <si>
    <t>Total Tokens</t>
  </si>
  <si>
    <t>Avg Tokens / Prompt</t>
  </si>
  <si>
    <t>Group Status</t>
  </si>
  <si>
    <t>G001</t>
  </si>
  <si>
    <t>G002</t>
  </si>
  <si>
    <t>Prompts</t>
  </si>
  <si>
    <t>Prompt ID</t>
  </si>
  <si>
    <t>Prompt Goal</t>
  </si>
  <si>
    <t>Prompt Text</t>
  </si>
  <si>
    <t>Status</t>
  </si>
  <si>
    <t>Tokens Used</t>
  </si>
  <si>
    <t>Model</t>
  </si>
  <si>
    <t>Notes / Output Quality</t>
  </si>
  <si>
    <t>P001</t>
  </si>
  <si>
    <t>Success</t>
  </si>
  <si>
    <t>P002</t>
  </si>
  <si>
    <t>Testing</t>
  </si>
  <si>
    <t>P003</t>
  </si>
  <si>
    <t>Draft</t>
  </si>
  <si>
    <t>P004</t>
  </si>
  <si>
    <t>P005</t>
  </si>
  <si>
    <t>Needs Review</t>
  </si>
  <si>
    <t>P006</t>
  </si>
  <si>
    <t>P007</t>
  </si>
  <si>
    <t>Failed</t>
  </si>
  <si>
    <t>Analysis</t>
  </si>
  <si>
    <t>Top-line metrics</t>
  </si>
  <si>
    <t>Total prompts</t>
  </si>
  <si>
    <t>Total groups</t>
  </si>
  <si>
    <t>Total tokens used</t>
  </si>
  <si>
    <t>Average tokens / prompt</t>
  </si>
  <si>
    <t>Max tokens (single prompt)</t>
  </si>
  <si>
    <t>Min tokens (&gt;0)</t>
  </si>
  <si>
    <t>Success rate</t>
  </si>
  <si>
    <t>Failure rate</t>
  </si>
  <si>
    <t>Status breakdown</t>
  </si>
  <si>
    <t>Count</t>
  </si>
  <si>
    <t>Tokens</t>
  </si>
  <si>
    <t>Total</t>
  </si>
  <si>
    <t>Per-group breakdown</t>
  </si>
  <si>
    <t>Success %</t>
  </si>
  <si>
    <t xml:space="preserve">i will go with option1 but this have a limitation in my case because i have another pather that need the same style but the card should be smaller how to work with that ?
so the first pather need this component to be reasponsive based on screen but the second it can have many column and for each of this column it can contain many card so it was not based on the screen size anymore </t>
  </si>
  <si>
    <t>Make the aoTicketItem recursive  based on size and on pather</t>
  </si>
  <si>
    <t>failed</t>
  </si>
  <si>
    <t>lot</t>
  </si>
  <si>
    <t>Claude Code</t>
  </si>
  <si>
    <t>very bad</t>
  </si>
  <si>
    <t>For manageBackLog : 
   The sprint should be change based on the screen  size 
	- for small screen sprint should be a container for aiTicketItem cards.
	- for non small screen sprint should be a container for aiTicketItem rows.
For manageTicketTracking : 
   no sprint exist  but there was a separate lwc aoticketBoardColumn 
   	- the aoTicketItem card should be a small card for all screens 
	- the aoticketBoardColumn shape should be placed recursivly based on screen size but the principale  size is fixed 
- create a variant in the aoTicketItem to know if we need for large screen or smallScreen</t>
  </si>
  <si>
    <t>bad</t>
  </si>
  <si>
    <t>We have 2 caller for the aoTicketItem: 
   - ManageBacklog.js 
   - ManageTicketTracking.js 
the aoTicketItem should appear as a card that the element should be show in a good way not just left and right we can have a different level in flex direction column 
 for the manageTicketTracking but it should still as it is for the manageBacklog
for that what i need from you is to set a variant in the aoTicketItem so the pather set how the view should be displayed.
for the card it should follow the same typography and  styling of the previous style . 
in the aoTicketItem check for the variant to show as card or as row.</t>
  </si>
  <si>
    <t>very good</t>
  </si>
  <si>
    <t xml:space="preserve">  card take full pather caller size of aoTicketItem.
  all element of card should take the size in % so they appear in the  same position always whenever the pather size is.
  - in case of large screen : 
	* in ManageTicketTracking same as previous no change 
	* in Manage Backlog same as previous no change
  - in case of small screen : 
	* in ManageTicketTracking same as previous no change
	* in Manage Backlog the variant is card now </t>
  </si>
  <si>
    <t>normal</t>
  </si>
  <si>
    <t xml:space="preserve">very good </t>
  </si>
  <si>
    <t>For @manageTicketTracking, do not pass the full subtask object. Pass only:
Name,Ticket Type,Summary,Story Points,Assignee
The child component should determine which specific fields to display based on the selected variant.
For @manageBacklog, keep the full data structure as-is since it requires all ticket fields.
Card Variants:
We should now use distinct card variants based on context:
full-ticket-card → Used for @manageBacklog (displays all fields)
row → Used for row-style compact layouts
tracking-card → Used for @manageTicketTracking (displays only the limited tracking fields)
This separates backlog and tracking concerns cleanly while allowing the child component to control field visibility by variant rather than by inconsistent parent payload structures.
@force-app/main/default/lwc/manageBacklog/  @force-app/main/default/lwc/manageTicketTracking/  @force-app/main/default/lwc/aoTicketItem/</t>
  </si>
  <si>
    <t xml:space="preserve">in @force-app/main/default/classes/domain/WorkflowService.cls  create foundEndStatus 
input : workflowTransition [] 
output : EndStatusId single field 
Logic : found the End status which is the status that is the fromStatus for a workflowTransition but it does not found a fromStatus that match it for a another workflow Transition. </t>
  </si>
  <si>
    <t>in @force-app/main/default/classes/controller/manageTicketTracking/ManageTicketTrackingController.cls  for loadManageTicketTrackingPage method  
after the gete sprintTickets :
                // create a set of key that contain just currentStatusId by looping throw all sprintTickets : so each currentStatus can be exist only one time 
                // get all ticket type in a Set 
                // get the workflow id for each ticket type and put also in a Set 
                // get the final status for each workflow id and put in a MapSet key : workflowId &gt; finalStatusId : to know the final status we stop when we found a toStatus that does not have 
// Then check for each sprintTicket the ticket type and found the related workflow Id and check if the currentStatus is the end status for this workflow if it was add to the returned map the for the sprintTickets if it was in the end status .</t>
  </si>
  <si>
    <t>P008</t>
  </si>
  <si>
    <t>very low</t>
  </si>
  <si>
    <t xml:space="preserve">return the Ticket that is in the end status for the associated workflow of it is ticket type.
UPDATE THE FRONT END BASED ON THAT </t>
  </si>
  <si>
    <t>Finally update the ManageTicketTracking.js to mention that ticket is on the final status use isEndStatus ENCAPSULATE IN SPRINTTICKETS STATE</t>
  </si>
  <si>
    <t xml:space="preserve">in @force-app/main/default/lwc/manageTicketTracking/manageTicketTracking.js , for _loadData() method  Todo : implement the todo in this line :   // compare the id of the tickettype in sprintTickets with ticketTypes Then add  the sprintTickets ticketTypeName and the same for association create for each of them a method in the util @force-app/main/default/lwc/aoTicketItem/ticketUtils.js  </t>
  </si>
  <si>
    <t>P009</t>
  </si>
  <si>
    <t>excellent</t>
  </si>
  <si>
    <t>sprint1-task9
sprint1-task10</t>
  </si>
  <si>
    <t>P010</t>
  </si>
  <si>
    <t>Create a card list with a + button in the header to add a new row inline, and an expand/collapse button on header to reveal more rows. Minimal flat design, compact rows, no specific app style.</t>
  </si>
  <si>
    <t>P011</t>
  </si>
  <si>
    <t>create Ticket Link backEnd + FrontEnd</t>
  </si>
  <si>
    <t>see the file P011.txt</t>
  </si>
  <si>
    <t>see the file P012.txt</t>
  </si>
  <si>
    <t>P012</t>
  </si>
  <si>
    <t>P013</t>
  </si>
  <si>
    <t xml:space="preserve">
- A "+ Create linked work item" text button to create a brand new linked item.
						00.02.05.02 : 
							- when the link button is clicked dispatch event should be send from the child to the pather , 
							- pather(ManageTicketTracking.js is the pather) it should handle the  event and send a apex request to create a new ticket Link 
							sequence : 
							 - controller will receive the request 
							 - controller use DomainCorrectness to check intgrity 
							 - controller will call the ticketService to save the new Ticket Link
							- Once the response is done in .then update the list  of the ticketLink : linkedToItems  state in the pather that we should already passed to the ticketLinkTo component 
										</t>
  </si>
  <si>
    <t xml:space="preserve">00.02.05.02 in manageTicketTracking requirement file : </t>
  </si>
  <si>
    <t>@force-app/main/default/classes/domain/DomainCompleteValidator.cls  add this new rules add DomainCompleteValidator check that we cannot do a transition from isEnd status 
add DomainCompleteValidator check that we cannot do a transition to todo and in  @force-app/main/default/classes/domain/WorkflowService.cls  in createWorkflowTransition calkl this new rules</t>
  </si>
  <si>
    <t>P014</t>
  </si>
  <si>
    <t>P015</t>
  </si>
  <si>
    <t>`@force-app/main/default/classes/controller/manageTicketTracking/  
_loadData method 
 loadManageTicketTrackingPage call 
 // Todo this should be calculated 
                // Todo check the response.statuses that have isEnd true when the ticket hit this status so it was in the end status 
based on the return  Map&lt;String, Object&gt; data = new Map&lt;String, Object&gt;{
                'status'              =&gt; statuses,
                'workflows'           =&gt; workflows,
                'sprint_tickets'      =&gt; sprintTickets,
                'members'             =&gt; members,
                'ticketTypes'         =&gt; ticketTypes,
                'sprint'              =&gt; sprint
            };
where the status have the isEnd and is Start</t>
  </si>
  <si>
    <t>@force-app/main/default/classes/controller/manageTicketTracking/  
_loadData method 
 loadManageTicketTrackingPage call 
 // Todo this should be calculated 
                // Todo check the response.statuses that have isEnd true when the ticket hit this status so it was in the end status 
based on the return  Map&lt;String, Object&gt; data = new Map&lt;String, Object&gt;{
                'status'              =&gt; statuses,
                'workflows'           =&gt; workflows,
                'sprint_tickets'      =&gt; sprintTickets,
                'members'             =&gt; members,
                'ticketTypes'         =&gt; ticketTypes,
                'sprint'              =&gt; sprint
            };
where the status have the isEnd and is Start</t>
  </si>
  <si>
    <t>P016</t>
  </si>
  <si>
    <t>`@force-app/main/default/objects/Sprint__c/ Please add totalStoryPoint and totalEndedStoryPoint</t>
  </si>
  <si>
    <t>P017</t>
  </si>
  <si>
    <t>low</t>
  </si>
  <si>
    <t>task 19</t>
  </si>
  <si>
    <t>P018</t>
  </si>
  <si>
    <t>&gt; please eliminate the unecessary element tag that put just for design in all lwc component just igonore the `@force-app/main/default/classes/controller/manageTicketTracking/`, `@force-app/main/default/classes/controller/manageWorkflow/`, `@force-app/main/default/lwc/manageWorkflowForm/`, `@force-app/main/default/lwc/projectMember/`, `@force-app/main/default/lwc/projectSelector/`, `@force-app/main/default/lwc/workflowVisualizer/`.
&gt;
&gt; use a modern style that looks like jira:
&gt;
&gt; **Jira-Like Frontend Design Plan**
&gt;
&gt; **Visual Identity &amp; Design System**
&gt;
&gt; **Color Palette**
&gt; - Background: `#1D2125` (dark nav), `#FFFFFF` (main content), `#F4F5F7` (sidebar/panel bg)
&gt; - Primary Blue: `#0052CC` (buttons, links, active states)
&gt; - Accent: `#0065FF` (hover states)
&gt; - Text: `#172B4D` (primary), `#6B778C` (secondary/muted)
&gt; - Borders: `#DFE1E6`
&gt; - Status chips: green `#00875A`, orange `#FF991F`, red `#DE350B`, purple `#6554C0`
&gt;
&gt; **Typography**
&gt; - Font: `-apple-system, BlinkMacSystemFont, "Segoe UI"` — Jira uses system fonts for speed and neutrality
&gt; - Base size: 14px, line-height 1.4
&gt; - Headings: 20–24px, weight 600
&gt;
&gt; **Layout Structure**
&gt; ```
&gt; ┌──────────────────────────────────────────────────────┐
&gt; │  TOP NAV (56px)  — Logo | Projects | Boards | Search │
&gt; ├──────┬───────────────────────────────────────────────┤
&gt; │      │  BREADCRUMB BAR                               │
&gt; │ SIDE │───────────────────────────────────────────────┤
&gt; │ BAR  │                                               │
&gt; │(64px │         MAIN CONTENT AREA                     │
&gt; │ col- │         (Board / Backlog / Issue Detail)       │
&gt; │ laps)│                                               │
&gt; │      │                                               │
&gt; └──────┴───────────────────────────────────────────────┘
&gt; ```
&gt;
&gt; **Core Components to Build**
&gt;
&gt; 1. **Top Navigation Bar** — Logo + product switcher icon, breadcrumb (`Projects &gt; My Project &gt; Board`), global search (`/` shortcut trigger), Create button (blue, pill shape), Avatar + notifications icon (right side).
&gt; 2. **Left Sidebar** — Icon-based collapsed nav (64px wide), expandable to 240px with labels. Sections: Board, Backlog, Reports, Project Settings. Active state: blue left border + blue icon.
&gt; 3. **Kanban Board** — Horizontal scrollable columns; column header: name + issue count badge; cards with issue key (`PROJ-123`), title, assignee avatar, priority icon, story points; drag-and-drop between columns (use a library like dnd-kit); column footer: "+ Create issue" link.
&gt; 4. **Issue Card** — Priority icon (↑ high, = medium, ↓ low), issue type icon (bug 🐛, story 📖, task ✓), truncated title, bottom row: issue key (muted), assignee avatar (right-aligned). Hover: slight elevation shadow.
&gt; 5. **Issue Detail Panel / Modal** — Slide-in right panel (50% width) OR full modal. Left: title (editable inline), description (rich text), comments. Right sidebar: status dropdown, assignee, reporter, priority, sprint, story points, labels. Status: pill dropdown with color-coded options.
&gt; 6. **Backlog View** — Grouped list by sprint (collapsible sections). Each row: drag handle, issue type icon, key, title, assignee, story points, priority. Sprint header: name, dates, start/complete sprint button.
&gt; 7. **Status Dropdown (pill-style)** — Rounded badge buttons: TO DO (gray), IN PROGRESS (blue), DONE (green). Click to cycle or open mini-dropdown.
&gt;
&gt; **Component States to Handle**
&gt;
&gt; | Component       | States                                               |
&gt; | --------------- | ---------------------------------------------------- |
&gt; | Buttons         | Default, Hover, Active, Disabled, Loading            |
&gt; | Cards           | Default, Hover, Dragging, Selected                   |
&gt; | Inputs          | Default, Focus, Error, Disabled                      |
&gt; | Sidebar items   | Default, Hover, Active                               |
&gt; | Dropdowns       | Closed, Open, Selected                               |
&gt;
&gt; **Recommended Tech Stack**
&gt;
&gt; | Layer         | Choice                                              |
&gt; | ------------- | --------------------------------------------------- |
&gt; | Framework     | React (JSX)                                         |
&gt; | Styling       | Tailwind CSS utility classes OR CSS Modules         |
&gt; | Icons         | `lucide-react` or Atlassian's icon set              |
&gt; | Drag &amp; Drop   | `@dnd-kit/core`                                     |
&gt; | Rich Text     | `@tiptap/react` (for descriptions)                  |
&gt; | State         | `useState` + `useReducer` (or Zustand for scale)    |
&gt; | Routing       | React Router (Board / Backlog / Settings routes)    |
&gt;
&gt; so all the update related to html unecessary div and css
---</t>
  </si>
  <si>
    <t>high</t>
  </si>
  <si>
    <t>Claude Opus</t>
  </si>
  <si>
    <t xml:space="preserve">what i need from you 
TASK1 : is to delete the _updateSprint method in  @force-app/main/default/lwc/manageBacklog/manageBacklog.js  and create a method _enrichSprintWith&lt;&gt; based on the call so we will have for each action that enrich sprint a new function . 
 TASK 2 : DO THE SAME FOR THE _updateTicketInSprints in  @force-app/main/default/lwc/manageBacklog/manageBacklog.js  </t>
  </si>
  <si>
    <t>task 23</t>
  </si>
  <si>
    <t>P019</t>
  </si>
  <si>
    <t>task 24</t>
  </si>
  <si>
    <t xml:space="preserve">in @force-app/main/default/classes/controller/managebacklog/    we have call deleteTicket and deleteTickets where the response is change now we return in deleteTicket          :
            Map&lt;String, Object&gt; data = new Map&lt;String, Object&gt;{
                'updatedSprint' =&gt; updatedSprint
            };
            return new APIResponse(true, 'Ticket deleted', data);
so  after call them in .then in _enrichSprintsWithoutTicket update the totalStoryPoint based on the return response so we need to set the new value that came  from the server sprint.totalStoryPoint after format the returned Sprint 
</t>
  </si>
  <si>
    <t>`do the same for _executeBulkDelete in @force-app/main/default/lwc/manageBacklog/manageBacklog.js  when the deleteTickets return  
            Map&lt;String, Object&gt; data = new Map&lt;String, Object&gt;{
                'updatedSprints' =&gt; updatedSprints
            };
            return new APIResponse(true, 'Tickets deleted', data);
also create a enrich SprintsWithoutTickets for it that also update the totalStoryPoints for each sprint and also spread it without the deleted tickets</t>
  </si>
  <si>
    <t>Claude haiku</t>
  </si>
  <si>
    <t>High</t>
  </si>
  <si>
    <t>excellent but more clariffy for formatSprint</t>
  </si>
  <si>
    <t>`in @force-app/main/default/classes/domain/TicketService.cls  update the : 
    // Todo return the Sprint object 
    public static void deleteTicket(Ticket__c ticket) {
        try {
            ticket.RecordStatus__c = 'delete';
            updateTicket(ticket);
            //Todo SprintService.decreaseTotalStoryPoint(ticket.Sprint__c, ticket.TotalStoryPoint__c);&gt;&gt; return full sprint object 
        } catch (DmlException dex) {
            throw new ServiceException('DML error deleting ticket: ' + dex.getMessage());
        } catch (Exception ex) {
            throw new ServiceException('Error deleting ticket: ' + ex.getMessage());
        }
    }
    // Todo pass the sprintId also as input 
    // Todo pass List of Ticket instead of list of ticket Id 
    // return the array of sprint 
    public static void deleteTickets(List&lt;String&gt; ticketIds) {
        try {
            List&lt;Ticket__c&gt; found = [SELECT Id, RecordStatus__c, Ticket_Type__c, Description__c, Creator__c FROM Ticket__c WHERE Id IN :ticketIds];
            if (!found.isEmpty()) {
                for (Ticket__c t : found) t.RecordStatus__c = 'delete';
                update found;
            }
            //Todo  SprintService.decreaseTotalStoryPoint(); with passing the sprintId and the totalStory point to decreased 
        } catch (DmlException dex) {
            throw new ServiceException('DML error deleting tickets: ' + dex.getMessage());
        } catch (Exception ex) {
            throw new ServiceException('Error deleting tickets: ' + ex.getMessage());
        }
    }
and create the necessary  method in @force-app/main/default/classes/domain/SprintService.cls  decreaseTotalStoryPoint. 
Then update in @force-app/main/default/classes/controller/managebacklog/ManageBacklogController.cls  the :   
    @AuraEnabled
    public static APIResponse deleteTicket(String ticketId) {
        try {
            if (String.isBlank(ticketId)) return new APIResponse(false, 'ticketId is required');
            Ticket__c existing = DomainCorrectness.requireTicketExists(ticketId);
            TicketService.deleteTicket(existing);
            // Todo return in the data the updated sprint 
            return new APIResponse(true, 'Ticket deleted');
        } catch (Exception ex) {
            return new APIResponse(false, 'Error deleting ticket: ' + ex.getMessage());
        }
    }
    @AuraEnabled
    public static APIResponse deleteTickets(List&lt;String&gt; ticketIds) {
        try {
            if (ticketIds == null || ticketIds.isEmpty()) return new APIResponse(false, 'ticketIds are required');
            // Todo do DomainCorrectness for all tickets  and pass the List of Ticket__c instead of String
            TicketService.deleteTickets(ticketIds);
            // Todo return the updated sprints
            return new APIResponse(true, 'Tickets deleted');
        } catch (Exception ex) {
            return new APIResponse(false, 'Error deleting tickets: ' + ex.getMessage());
        }
    }
Then update the frontEnd call in @force-app/main/default/lwc/manageBacklog/manageBacklog.js where we should update the sprint.totalStoryPoint based on this call in :   handleTicketDelete(event) {
        const { ticketId } = event.detail;
        const ticketItem   = event.target;
        deleteTicket({ ticketId })
            .then(res =&gt; {
                this.isLoading = true;
                if (!res.success) { ticketItem.ticketError = res.message; return; }
                this.backlogTickets = this.backlogTickets.filter(t =&gt; t.Id !== ticketId);
                this._selectedTicketIds.delete(ticketId);
                this._selectedTicketIds = new Set(this._selectedTicketIds);
                this._enrichSprintsWithoutTicket(ticketId);
// Todo updateSprintTotalStoryPoint 
                this._showSuccess('Ticket deleted');
            })
            .catch(err =&gt; { ticketItem.ticketError = err.body?.message || 'Error deleting ticket'; })
            .finally(() =&gt; { this.isLoading = false; });
    }
_executeBulkDelete() {
        const ids = [...this._selectedTicketIds];
        deleteTickets({ ticketIds: ids })
            .then(res =&gt; {
                this.isLoading = true;
                if (!res.success) { this.errorMessage = res.message; return; }
                this.backlogTickets     = this.backlogTickets.filter(t =&gt; !ids.includes(t.Id));
                this._selectedTicketIds = new Set();
                this.sprints = [...this.sprints.map(s =&gt; {
                    const tickets = s.tickets.filter(t =&gt; !ids.includes(t.Id));
                    return { ...s, tickets, hasTickets: tickets.length &gt; 0 };
                })];
                this._showSuccess('Tickets deleted');
                // Todo update the sprints total story point 
            })
            .catch(err =&gt; { this.errorMessage = err.body?.message || 'Error deleting tickets'; })
            .finally(() =&gt; { this.isLoading = false; });
        }</t>
  </si>
  <si>
    <t>P020</t>
  </si>
  <si>
    <t>P021</t>
  </si>
  <si>
    <t>P022</t>
  </si>
  <si>
    <t>Task 30</t>
  </si>
  <si>
    <t>P023</t>
  </si>
  <si>
    <t>`in @force-app/main/default/classes/domain/TicketService.cls : 
    //Todo create method removeTicketFromSprint
     // Input : Ticket__c 
        // call  decreaseTotalStoryPoint(ticket.Sprint__c, ticket.StoryPoint__c); 
        // update the ticket.Sprint__c to null 
     // Output : Sprint
 and in @force-app/main/default/classes/controller/managebacklog/ManageBacklogController.cls : 
    @AuraEnabled
    public static APIResponse moveTicketToBacklog(String ticketId) {
        try {
            if (String.isBlank(ticketId)) return new APIResponse(false, 'ticketId is required');
            Ticket__c existing = DomainCorrectness.requireTicketExists(ticketId);
            // Todo call the created function  in the service removeTicketFromSprint
            return new APIResponse(true, 'Ticket moved to backlog', updated);
        } catch (Exception ex) {
            return new APIResponse(false, 'Error moving ticket to backlog: ' + ex.getMessage());
        }
    }
go with todos</t>
  </si>
  <si>
    <t>Task 33</t>
  </si>
  <si>
    <t xml:space="preserve">excellent </t>
  </si>
  <si>
    <t>P024</t>
  </si>
  <si>
    <t>in @force-app/main/default/classes/domain/TicketService.cls  : 
     // Todo moveTicketToSprint : 
      // Input : Ticket__c , Sprint__c 
      // Logic : call increaseTotalStoryPoint and update Ticket Sprint id : without any validation 
      // Output : return the updated Sprint 
in @force-app/main/default/classes/controller/managebacklog/ManageBacklogController.cls  :  
    @AuraEnabled
    public static APIResponse moveTicketToSprint(String ticketId, String sprintId) {
        try {
            if (String.isBlank(ticketId)) return new APIResponse(false, 'ticketId is required');
            if (String.isBlank(sprintId))  return new APIResponse(false, 'sprintId is required');
            Sprint__c sprint = DomainCorrectness.requireSprintExists(sprintId);
            Ticket__c existing = DomainCorrectness.requireTicketExists(ticketId);
            // Todo call moveTicketToSprint and return the updated Sprint 
            return new APIResponse(true, 'Ticket moved to sprint', updated);
        } catch (Exception ex) {
            return new APIResponse(false, 'Error moving ticket to sprint: ' + ex.getMessage());
        }
    }</t>
  </si>
  <si>
    <t>P025</t>
  </si>
  <si>
    <t>in TicketService.moveTicketToSprint  before update the ticket.Sprint__c = sprint.Id : moveTicketToSprint we should call DomainCompleteValidator that ticket cannot move from sprint to another so throw a exception 
@force-app/main/default/classes/domain/DomainCompleteValidator.cls</t>
  </si>
  <si>
    <t>the reason that is high that I do not tell him where I should create increase method and it not exist before.</t>
  </si>
  <si>
    <t>medium</t>
  </si>
  <si>
    <t>P026</t>
  </si>
  <si>
    <t xml:space="preserve">create a Dto class that include classes in it, exist in @force-app/main/default/classes/domain/  : 
- CreateTicketResponse include createdTicket , updateSprint used in @force-app/main/default/classes/domain/TicketService.cls  for createTicket method line 28 . 
the updated Sprint is from increaseTotalStoryPoint please do not validate wher ethis method exist and the return response .
please do not validate if the method exist  just go to the line and you will find it. </t>
  </si>
  <si>
    <t>LOW</t>
  </si>
  <si>
    <t>Task34</t>
  </si>
  <si>
    <t>in @force-app/main/default/classes/domain/SprintService.cls   :     // Todo create increaseTotalEndStatus : 
        // input : Sprint , story point 
        // output : Sprint 
in @force-app/main/default/classes/domain/TicketService.cls  : 
public static Boolean changeTicketState(Ticket__c ticket, Status__c fromStatus, Status__c toStatus, List&lt;WorkflowTransition__c&gt; transitions) {
        try {
            DomainCompleteValidator.requireTransitionAllowed(fromStatus.Id, toStatus.Id, transitions);
            ticket.CurrentState__c = toStatus.Id;
            updateTicket(ticket);
            // Todo check if the DomainCompleteValidator.isEndStatus(toStatus) : 
                // Todo then increaseTotalEndStatus in SprintService 
            // return changeTicketStateDto instead of boolean value  
            return DomainCompleteValidator.isEndStatus(toStatus);
        } catch (Exception ex) {
            throw new ServiceException('Error changing ticket state: ' + ex.getMessage());
        }
    }
in @force-app/main/default/classes/controller/manageTicketTracking/ManageTicketTrackingController.cls  :  update the  return of changeTicketState and in @force-app/main/default/classes/controller/manageTicketTracking/ManageTicketTrackingController.cls</t>
  </si>
  <si>
    <t>update also change TicketState in @force-app/main/default/classes/controller/managebacklog/ManageBacklogController.cls</t>
  </si>
  <si>
    <t>Task 36</t>
  </si>
  <si>
    <t>P027</t>
  </si>
  <si>
    <t>P028</t>
  </si>
  <si>
    <t>good</t>
  </si>
  <si>
    <t>_callChangeTicketState(ticketId, fromStatusId, toStatusId) {
        changeTicketState({ ticketId, fromStatusId, toStatusId })
            .then(res =&gt; {
                if (!res.success) { this.errorMessage = res.message; return; }
                const isEndStatus = res.data &amp;&amp; res.data.isEndStatus;
                const updatedSprint = null;
                if(isEndStatus) { updatedSprint = res.data?.updatedSprint}
                this._sprintTickets = this._sprintTickets.map(ticket =&gt;
                    ticket.Id === ticketId
                        ? {
                            ...ticket,
                            CurrentState__c: toStatusId,
                            currentStatuses: this._statuses.find(s =&gt; s.statusId === toStatusId) || null,
                            isEndStatus:     isEndStatus || false
                          }
                        : ticket
                );
                if (isEndStatus) {
                    this.columns = this.columns.map(col =&gt; ({
                        ...col,
                        tickets: col.tickets.map(t =&gt;
                            t.Id === ticketId
                                ? { ...t, isEndStatus: true, _renderKey: t.Id + '_' + Date.now() }
                                : t
                        )
                    }));
                }
            })
            .catch(err =&gt; { this.errorMessage = (err.body &amp;&amp; err.body.message) || 'Error changing ticket state'; })
    }
update this method in the way that spread the ticket in enrichSprintTicketChangeState , 
and for the case of isEndStatus : to update update the isEndStatus to true and renderkey change and alsoto enrich the sprint with a totalEndStorYpOINT , 
so you can create a separate method called enrichSprintWithTicketStateChange that achieve the end status (change the method name to be reliable and easuy to understand )
in @force-app/main/default/lwc/manageTicketTracking/manageTicketTracking.js</t>
  </si>
  <si>
    <t>Task 37</t>
  </si>
  <si>
    <t xml:space="preserve">in @force-app/main/default/lwc/manageBacklog/manageBacklog.js  in handleTicketStateChange when the response is came  get the  isEndStatus from data.isEndStatus and updatedSprint from data.updatedSprint however we get the data.updatedSprint in the case when  the isEndStatus is true . 
so in the case of isEndStatus true get the totalEndedStoryPoint from it and enrich the current sprint with it this if the ticket have a sprint </t>
  </si>
  <si>
    <t># Use Case Specifications: Create Ticket
---
	## Use Case 1: Create Ticket from Backlog
		### Actor
		Project Member (authenticated user with access to the project's backlog)
		### Front-End Pre-conditions
		- User is authenticated and logged into the application.
		- User has navigated to the **Backlog** view of a project.
		- User is an active member of the project.
		- The project's ticket types, statuses, and members are already loaded in the UI.
		### Trigger
		User clicks the **"Create Ticket"** button on the Backlog page, which opens the ticket creation form/modal.
		### Front-End Validation
		Before sending the request, the front-end validates:
		- `name` is not empty.
		- `summary` is not empty.
		- `ticketTypeId` is selected from the dropdown.
		- `storyPoint` (if provided) is a positive integer.
		- `priority` (if provided) is one of the allowed values (`Low`, `Medium`, `High`).
		- If any validation fails → display inline error messages on the form fields; the request is **not** sent.
		### Request — Backend Method Call
		**Endpoint:** `POST /services/apexrest/tickets`  
		**Backend Method:** `TicketController.createTicket(...)`
		**Request Body:**
		```json
		{
		  "name": "TICK-001",
		  "summary": "Implement login validation",
		  "ticketTypeId": "a01XXXXXXXXXXXX",
		  "currentStateId": null,
		  "description": "Add client-side validation for the login form",
		  "storyPoint": 5,
		  "assignedToId": "a03XXXXXXXXXXXX",
		  "epicId": "a04XXXXXXXXXXXX",
		  "sprintId": null,
		  "priority": "Medium"
		}
		```
		### Response Handling
		#### Success Case
		- Backend returns `APIResponse(success = true, message = "Ticket created successfully", data = { createdTicket })`.
		- Front-end:
		  - Closes the creation modal.
		  - Displays a success toast: *"Ticket created successfully."*
		  - Appends the new ticket card to the Backlog list (no sprint refresh needed).
		#### Failure — Front-End Validation Failure
		- The request is never sent.
		- Inline error messages are displayed under the invalid form fields.
		- The "Create" button remains disabled or re-enabled depending on input correction.
		#### Failure — Back-End Failure
		- Backend returns `APIResponse(success = false, message = "&lt;error reason&gt;")`.
		- Possible reasons:
		  - Missing required fields (`name`, `summary`, `ticketTypeId`).
		  - Ticket type does not exist.
		  - Assigned member is not active.
		  - Epic is not active.
		  - Current user is not a member of the project.
		  - DML / unexpected server exception.
		- Front-end:
		  - Keeps the modal open with the user's input preserved.
		  - Displays an error toast or banner with the returned message.
		### Post-conditions
		- A new `Ticket__c` record exists with `RecordStatus__c = 'active'`.
		- The ticket is not linked to any sprint.
		- No sprint record is modified.
		---
	## Use Case 2: Create Ticket from Sprint
		### Actor
		Project Member (authenticated user with access to an active sprint)
		### Front-End Pre-conditions
		- User is authenticated and logged into the application.
		- User has navigated to a **Sprint** view (Sprint board or Sprint backlog).
		- The selected sprint exists.
		- User is an active member of the project owning the sprint.
		- Project ticket types, statuses, members, and the current sprint context are loaded in the UI.
		### Trigger
		User clicks the **"Create Ticket"** button from within the Sprint view (Sprint board or Sprint backlog), which opens the ticket creation form/modal with the current `sprintId` pre-filled.
		### Front-End Validation
		Before sending the request, the front-end validates:
		- `name` is not empty.
		- `summary` is not empty.
		- `ticketTypeId` is selected from the dropdown.
		- `sprintId` is present (auto-filled from context — should never be empty in this flow).
		- `storyPoint` (if provided) is a positive integer.
		- `priority` (if provided) is one of the allowed values (`Low`, `Medium`, `High`).
		- If any validation fails → display inline error messages; the request is **not** sent.
		### Request — Backend Method Call
		**Endpoint:** `POST /services/apexrest/tickets`  
		**Backend Method:** `TicketController.createTicket(...)`
		**Request Body:**
		```json
		{
		  "name": "TICK-002",
		  "summary": "Fix payment gateway timeout",
		  "ticketTypeId": "a01XXXXXXXXXXXX",
		  "currentStateId": "a02XXXXXXXXXXXX",
		  "description": "Increase timeout threshold for the payment API",
		  "storyPoint": 3,
		  "assignedToId": "a03XXXXXXXXXXXX",
		  "epicId": "a04XXXXXXXXXXXX",
		  "sprintId": "a05XXXXXXXXXXXX",
		  "priority": "High"
		}
		```
		### Response Handling
		#### Success Case
		- Backend returns `APIResponse(success = true, message = "Ticket created successfully", data = { createdTicket, updatedSprint })`.
		- Front-end:
		  - Closes the creation modal.
		  - Displays a success toast: *"Ticket created successfully."*
		  - Adds the new ticket card to the Sprint board / Sprint backlog.
		  - Updates the sprint's displayed `totalStoryPoint` (and `endedStoryPoint` if the ticket was created already in an end status) using the `updatedSprint` returned from the backend.
		#### Failure — Front-End Validation Failure
		- The request is never sent.
		- Inline error messages are displayed under the invalid form fields.
		- The "Create" button stays disabled or re-enabled depending on input correction.
		#### Failure — Back-End Failure
		- Backend returns `APIResponse(success = false, message = "&lt;error reason&gt;")`.
		- Possible reasons:
		  - Missing required fields (`name`, `summary`, `ticketTypeId`).
		  - Ticket type does not exist.
		  - Sprint does not exist.
		  - Assigned member is not active.
		  - Epic is not active.
		  - Current user is not a member of the project.
		  - DML / unexpected server exception.
		- Front-end:
		  - Keeps the modal open with the user's input preserved.
		  - Displays an error toast or banner with the returned message.
		  - Does **not** update the sprint's story-point totals on the UI.
		### Post-conditions
		- A new `Ticket__c` record exists with `RecordStatus__c = 'active'` and `Sprint__c` set to the current sprint.
		- The sprint's `totalStoryPoint` is increased by the ticket's `storyPoint`.
		- If the ticket was created already in an **end status**, the sprint's `endedStoryPoint` is also increased by the ticket's `storyPoint`.
	---
	## Quick Comparison
	| Aspect | Backlog | Sprint |
	|---|---|---|
	| Entry point | Backlog view | Sprint view |
	| `sprintId` in request | `null` | Populated |
	| Back-end sprint existence check | Skipped | Executes |
	| Sprint story-point update | None | `totalStoryPoint` (+ `endedStoryPoint` if end status) |
	| Response payload | `createdTicket` | `createdTicket` + `updatedSprint` |
	| UI side effect on success | Add card to Backlog | Add card to Sprint + refresh sprint metrics |</t>
  </si>
  <si>
    <t>Claude oPUS</t>
  </si>
  <si>
    <t>EXCELLENT</t>
  </si>
  <si>
    <t>TASK 41</t>
  </si>
  <si>
    <t>P029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</si>
</sst>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9" x14ac:knownFonts="1">
    <font>
      <sz val="11"/>
      <color theme="1"/>
      <name val="Calibri"/>
      <family val="2"/>
      <charset val="1"/>
    </font>
    <font>
      <b/>
      <sz val="16"/>
      <color rgb="FF1F4E78"/>
      <name val="Arial"/>
      <charset val="1"/>
    </font>
    <font>
      <b/>
      <sz val="11"/>
      <name val="Arial"/>
      <charset val="1"/>
    </font>
    <font>
      <sz val="11"/>
      <name val="Arial"/>
      <charset val="1"/>
    </font>
    <font>
      <b/>
      <sz val="11"/>
      <color rgb="FFFFFFFF"/>
      <name val="Arial"/>
      <charset val="1"/>
    </font>
    <font>
      <sz val="10"/>
      <name val="Arial"/>
      <family val="2"/>
    </font>
    <font>
      <b/>
      <sz val="11"/>
      <color rgb="FF1F4E78"/>
      <name val="Arial"/>
      <charset val="1"/>
    </font>
    <font>
      <sz val="11"/>
      <name val="Arial"/>
      <family val="2"/>
    </font>
    <font>
      <sz val="11"/>
      <color rgb="FF85B6FF"/>
      <name val="Segoe UI"/>
      <family val="2"/>
    </font>
  </fonts>
  <fills count="5">
    <fill>
      <patternFill patternType="none"/>
    </fill>
    <fill>
      <patternFill patternType="gray125"/>
    </fill>
    <fill>
      <patternFill patternType="solid">
        <fgColor rgb="FF1F4E78"/>
        <bgColor rgb="FF003366"/>
      </patternFill>
    </fill>
    <fill>
      <patternFill patternType="solid">
        <fgColor rgb="FFD9E1F2"/>
        <bgColor rgb="FFF2F2F2"/>
      </patternFill>
    </fill>
    <fill>
      <patternFill patternType="solid">
        <fgColor rgb="FFF2F2F2"/>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164" fontId="3" fillId="0" borderId="1" xfId="0" applyNumberFormat="1" applyFont="1" applyBorder="1" applyAlignment="1">
      <alignment horizontal="center" vertical="top" wrapText="1"/>
    </xf>
    <xf numFmtId="165" fontId="3"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left" vertical="top" wrapText="1"/>
    </xf>
    <xf numFmtId="165" fontId="3" fillId="0" borderId="1" xfId="0" applyNumberFormat="1" applyFont="1" applyBorder="1" applyAlignment="1">
      <alignment horizontal="left" vertical="top" wrapText="1"/>
    </xf>
    <xf numFmtId="0" fontId="2" fillId="0" borderId="1" xfId="0" applyFont="1" applyBorder="1" applyAlignment="1">
      <alignment horizontal="left" vertical="center"/>
    </xf>
    <xf numFmtId="164" fontId="3" fillId="0" borderId="1" xfId="0" applyNumberFormat="1" applyFont="1" applyBorder="1" applyAlignment="1">
      <alignment horizontal="right" vertical="center"/>
    </xf>
    <xf numFmtId="166" fontId="3" fillId="0" borderId="1" xfId="0" applyNumberFormat="1" applyFont="1" applyBorder="1" applyAlignment="1">
      <alignment horizontal="right" vertical="center"/>
    </xf>
    <xf numFmtId="164" fontId="3" fillId="0" borderId="1" xfId="0" applyNumberFormat="1" applyFont="1" applyBorder="1" applyAlignment="1">
      <alignment horizontal="right" vertical="top" wrapText="1"/>
    </xf>
    <xf numFmtId="0" fontId="2" fillId="4" borderId="1" xfId="0" applyFont="1" applyFill="1" applyBorder="1" applyAlignment="1">
      <alignment horizontal="left" vertical="top" wrapText="1"/>
    </xf>
    <xf numFmtId="164" fontId="2" fillId="4" borderId="1" xfId="0" applyNumberFormat="1" applyFont="1" applyFill="1" applyBorder="1" applyAlignment="1">
      <alignment horizontal="right" vertical="top" wrapText="1"/>
    </xf>
    <xf numFmtId="166" fontId="3" fillId="0" borderId="1" xfId="0" applyNumberFormat="1" applyFont="1" applyBorder="1" applyAlignment="1">
      <alignment horizontal="righ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164" fontId="7" fillId="0" borderId="1" xfId="0" applyNumberFormat="1" applyFont="1" applyBorder="1" applyAlignment="1">
      <alignment horizontal="center" vertical="top" wrapText="1"/>
    </xf>
    <xf numFmtId="0" fontId="7" fillId="0" borderId="2" xfId="0" applyFont="1" applyBorder="1" applyAlignment="1">
      <alignment horizontal="left" vertical="top" wrapText="1"/>
    </xf>
    <xf numFmtId="0" fontId="8" fillId="0" borderId="0" xfId="0" applyFont="1"/>
    <xf numFmtId="0" fontId="3" fillId="0" borderId="1" xfId="0" quotePrefix="1" applyFont="1" applyBorder="1" applyAlignment="1">
      <alignment horizontal="left" vertical="top" wrapText="1"/>
    </xf>
    <xf numFmtId="0" fontId="7" fillId="0" borderId="1" xfId="0" quotePrefix="1" applyFont="1" applyBorder="1" applyAlignment="1">
      <alignment horizontal="left" vertical="top" wrapText="1"/>
    </xf>
    <xf numFmtId="0" fontId="1" fillId="0" borderId="0" xfId="0" applyFont="1"/>
    <xf numFmtId="0" fontId="6" fillId="3" borderId="0" xfId="0" applyFont="1" applyFill="1" applyAlignment="1">
      <alignment horizontal="left" vertical="center"/>
    </xf>
    <xf numFmtId="0" fontId="6" fillId="3" borderId="0" xfId="0" applyFont="1" applyFill="1"/>
    <xf numFmtId="0" fontId="0" fillId="0" borderId="0" xfId="0" applyAlignment="1">
      <alignment wrapText="1"/>
    </xf>
    <xf numFmtId="0" fontId="7" fillId="0" borderId="2" xfId="0" applyFont="1" applyFill="1" applyBorder="1" applyAlignment="1">
      <alignment horizontal="center" vertical="top" wrapText="1"/>
    </xf>
    <xf numFmtId="164" fontId="7" fillId="0" borderId="2" xfId="0" applyNumberFormat="1" applyFont="1" applyFill="1" applyBorder="1" applyAlignment="1">
      <alignment horizontal="center" vertical="top" wrapText="1"/>
    </xf>
    <xf numFmtId="0" fontId="7" fillId="0"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9"/>
  <sheetViews>
    <sheetView showGridLines="0" zoomScaleNormal="100" workbookViewId="0">
      <selection activeCell="C15" sqref="C15"/>
    </sheetView>
  </sheetViews>
  <sheetFormatPr defaultColWidth="8.6640625" defaultRowHeight="14.4" x14ac:dyDescent="0.3"/>
  <cols>
    <col min="1" max="1" width="2" customWidth="1"/>
    <col min="2" max="2" width="22" customWidth="1"/>
    <col min="3" max="3" width="90" customWidth="1"/>
  </cols>
  <sheetData>
    <row r="2" spans="2:3" ht="21" x14ac:dyDescent="0.4">
      <c r="B2" s="1" t="s">
        <v>0</v>
      </c>
    </row>
    <row r="3" spans="2:3" x14ac:dyDescent="0.3">
      <c r="B3" s="2"/>
      <c r="C3" s="3"/>
    </row>
    <row r="4" spans="2:3" x14ac:dyDescent="0.3">
      <c r="B4" s="2" t="s">
        <v>1</v>
      </c>
      <c r="C4" s="3" t="s">
        <v>2</v>
      </c>
    </row>
    <row r="5" spans="2:3" x14ac:dyDescent="0.3">
      <c r="B5" s="2"/>
      <c r="C5" s="3"/>
    </row>
    <row r="6" spans="2:3" x14ac:dyDescent="0.3">
      <c r="B6" s="2" t="s">
        <v>3</v>
      </c>
      <c r="C6" s="3"/>
    </row>
    <row r="7" spans="2:3" ht="27.6" x14ac:dyDescent="0.3">
      <c r="B7" s="2" t="s">
        <v>4</v>
      </c>
      <c r="C7" s="3" t="s">
        <v>5</v>
      </c>
    </row>
    <row r="8" spans="2:3" ht="27.6" x14ac:dyDescent="0.3">
      <c r="B8" s="2" t="s">
        <v>6</v>
      </c>
      <c r="C8" s="3" t="s">
        <v>7</v>
      </c>
    </row>
    <row r="9" spans="2:3" x14ac:dyDescent="0.3">
      <c r="B9" s="2" t="s">
        <v>8</v>
      </c>
      <c r="C9" s="3" t="s">
        <v>9</v>
      </c>
    </row>
    <row r="10" spans="2:3" x14ac:dyDescent="0.3">
      <c r="B10" s="2"/>
      <c r="C10" s="3"/>
    </row>
    <row r="11" spans="2:3" x14ac:dyDescent="0.3">
      <c r="B11" s="2" t="s">
        <v>10</v>
      </c>
      <c r="C11" s="3"/>
    </row>
    <row r="12" spans="2:3" x14ac:dyDescent="0.3">
      <c r="B12" s="2" t="s">
        <v>11</v>
      </c>
      <c r="C12" s="3" t="s">
        <v>12</v>
      </c>
    </row>
    <row r="13" spans="2:3" x14ac:dyDescent="0.3">
      <c r="B13" s="2" t="s">
        <v>13</v>
      </c>
      <c r="C13" s="3" t="s">
        <v>14</v>
      </c>
    </row>
    <row r="14" spans="2:3" x14ac:dyDescent="0.3">
      <c r="B14" s="2" t="s">
        <v>15</v>
      </c>
      <c r="C14" s="3" t="s">
        <v>16</v>
      </c>
    </row>
    <row r="15" spans="2:3" x14ac:dyDescent="0.3">
      <c r="B15" s="2" t="s">
        <v>17</v>
      </c>
      <c r="C15" s="3" t="s">
        <v>18</v>
      </c>
    </row>
    <row r="16" spans="2:3" x14ac:dyDescent="0.3">
      <c r="B16" s="2"/>
      <c r="C16" s="3"/>
    </row>
    <row r="17" spans="2:3" x14ac:dyDescent="0.3">
      <c r="B17" s="2" t="s">
        <v>19</v>
      </c>
      <c r="C17" s="3" t="s">
        <v>20</v>
      </c>
    </row>
    <row r="18" spans="2:3" x14ac:dyDescent="0.3">
      <c r="B18" s="2"/>
      <c r="C18" s="3"/>
    </row>
    <row r="19" spans="2:3" x14ac:dyDescent="0.3">
      <c r="B19" s="2" t="s">
        <v>21</v>
      </c>
      <c r="C19" s="3" t="s">
        <v>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showGridLines="0" zoomScaleNormal="100" workbookViewId="0">
      <pane ySplit="3" topLeftCell="A4" activePane="bottomLeft" state="frozen"/>
      <selection pane="bottomLeft" activeCell="C6" sqref="C6"/>
    </sheetView>
  </sheetViews>
  <sheetFormatPr defaultColWidth="8.6640625" defaultRowHeight="14.4" x14ac:dyDescent="0.3"/>
  <cols>
    <col min="1" max="1" width="12" customWidth="1"/>
    <col min="2" max="2" width="28" customWidth="1"/>
    <col min="3" max="3" width="70" customWidth="1"/>
    <col min="4" max="5" width="14" customWidth="1"/>
    <col min="6" max="6" width="18" customWidth="1"/>
    <col min="7" max="7" width="16" customWidth="1"/>
  </cols>
  <sheetData>
    <row r="1" spans="1:7" ht="21" x14ac:dyDescent="0.4">
      <c r="A1" s="25" t="s">
        <v>23</v>
      </c>
      <c r="B1" s="25"/>
      <c r="C1" s="25"/>
      <c r="D1" s="25"/>
      <c r="E1" s="25"/>
      <c r="F1" s="25"/>
      <c r="G1" s="25"/>
    </row>
    <row r="3" spans="1:7" ht="30" customHeight="1" x14ac:dyDescent="0.3">
      <c r="A3" s="4" t="s">
        <v>24</v>
      </c>
      <c r="B3" s="4" t="s">
        <v>25</v>
      </c>
      <c r="C3" s="4" t="s">
        <v>26</v>
      </c>
      <c r="D3" s="4" t="s">
        <v>27</v>
      </c>
      <c r="E3" s="4" t="s">
        <v>28</v>
      </c>
      <c r="F3" s="4" t="s">
        <v>29</v>
      </c>
      <c r="G3" s="4" t="s">
        <v>30</v>
      </c>
    </row>
    <row r="4" spans="1:7" ht="45" customHeight="1" x14ac:dyDescent="0.3">
      <c r="A4" s="5" t="s">
        <v>31</v>
      </c>
      <c r="B4" s="5"/>
      <c r="C4" s="5" t="s">
        <v>70</v>
      </c>
      <c r="D4" s="6">
        <f>COUNTIF(Prompts!$B$4:$B$1000,A4)</f>
        <v>3</v>
      </c>
      <c r="E4" s="6">
        <f>SUMIF(Prompts!$B$4:$B$1000,A4,Prompts!$F$4:$F$1000)</f>
        <v>0</v>
      </c>
      <c r="F4" s="7">
        <f>IFERROR(E4/D4,0)</f>
        <v>0</v>
      </c>
      <c r="G4" s="8" t="str">
        <f>IF(D4=0,"Empty",IF(COUNTIFS(Prompts!$B$4:$B$1000,A4,Prompts!$E$4:$E$1000,"Draft")+COUNTIFS(Prompts!$B$4:$B$1000,A4,Prompts!$E$4:$E$1000,"Testing")+COUNTIFS(Prompts!$B$4:$B$1000,A4,Prompts!$E$4:$E$1000,"Needs Review")=0,"Complete","In Progress"))</f>
        <v>Complete</v>
      </c>
    </row>
    <row r="5" spans="1:7" ht="45" customHeight="1" x14ac:dyDescent="0.3">
      <c r="A5" s="19" t="s">
        <v>32</v>
      </c>
      <c r="B5" s="5"/>
      <c r="C5" s="19" t="s">
        <v>87</v>
      </c>
      <c r="D5" s="6"/>
      <c r="E5" s="6"/>
      <c r="F5" s="7"/>
      <c r="G5" s="8"/>
    </row>
    <row r="6" spans="1:7" ht="45" customHeight="1" x14ac:dyDescent="0.3">
      <c r="A6" s="5"/>
      <c r="B6" s="5"/>
      <c r="C6" s="5"/>
      <c r="D6" s="6"/>
      <c r="E6" s="6"/>
      <c r="F6" s="7"/>
      <c r="G6" s="8"/>
    </row>
    <row r="7" spans="1:7" ht="45" customHeight="1" x14ac:dyDescent="0.3">
      <c r="A7" s="5"/>
      <c r="B7" s="5"/>
      <c r="C7" s="5"/>
      <c r="D7" s="9" t="str">
        <f>IF(A7="","",COUNTIF(Prompts!$B$4:$B$1000,A7))</f>
        <v/>
      </c>
      <c r="E7" s="9" t="str">
        <f>IF(A7="","",SUMIF(Prompts!$B$4:$B$1000,A7,Prompts!$F$4:$F$1000))</f>
        <v/>
      </c>
      <c r="F7" s="10" t="str">
        <f t="shared" ref="F7:F13" si="0">IF(OR(A7="",D7=0),"",E7/D7)</f>
        <v/>
      </c>
      <c r="G7" s="5" t="str">
        <f>IF(A7="","",IF(D7=0,"Empty",IF(COUNTIFS(Prompts!$B$4:$B$1000,A7,Prompts!$E$4:$E$1000,"Draft")+COUNTIFS(Prompts!$B$4:$B$1000,A7,Prompts!$E$4:$E$1000,"Testing")+COUNTIFS(Prompts!$B$4:$B$1000,A7,Prompts!$E$4:$E$1000,"Needs Review")=0,"Complete","In Progress")))</f>
        <v/>
      </c>
    </row>
    <row r="8" spans="1:7" ht="45" customHeight="1" x14ac:dyDescent="0.3">
      <c r="A8" s="5"/>
      <c r="B8" s="5"/>
      <c r="C8" s="5"/>
      <c r="D8" s="9" t="str">
        <f>IF(A8="","",COUNTIF(Prompts!$B$4:$B$1000,A8))</f>
        <v/>
      </c>
      <c r="E8" s="9" t="str">
        <f>IF(A8="","",SUMIF(Prompts!$B$4:$B$1000,A8,Prompts!$F$4:$F$1000))</f>
        <v/>
      </c>
      <c r="F8" s="10" t="str">
        <f t="shared" si="0"/>
        <v/>
      </c>
      <c r="G8" s="5" t="str">
        <f>IF(A8="","",IF(D8=0,"Empty",IF(COUNTIFS(Prompts!$B$4:$B$1000,A8,Prompts!$E$4:$E$1000,"Draft")+COUNTIFS(Prompts!$B$4:$B$1000,A8,Prompts!$E$4:$E$1000,"Testing")+COUNTIFS(Prompts!$B$4:$B$1000,A8,Prompts!$E$4:$E$1000,"Needs Review")=0,"Complete","In Progress")))</f>
        <v/>
      </c>
    </row>
    <row r="9" spans="1:7" ht="45" customHeight="1" x14ac:dyDescent="0.3">
      <c r="A9" s="5"/>
      <c r="B9" s="5"/>
      <c r="C9" s="5"/>
      <c r="D9" s="9" t="str">
        <f>IF(A9="","",COUNTIF(Prompts!$B$4:$B$1000,A9))</f>
        <v/>
      </c>
      <c r="E9" s="9" t="str">
        <f>IF(A9="","",SUMIF(Prompts!$B$4:$B$1000,A9,Prompts!$F$4:$F$1000))</f>
        <v/>
      </c>
      <c r="F9" s="10" t="str">
        <f t="shared" si="0"/>
        <v/>
      </c>
      <c r="G9" s="5" t="str">
        <f>IF(A9="","",IF(D9=0,"Empty",IF(COUNTIFS(Prompts!$B$4:$B$1000,A9,Prompts!$E$4:$E$1000,"Draft")+COUNTIFS(Prompts!$B$4:$B$1000,A9,Prompts!$E$4:$E$1000,"Testing")+COUNTIFS(Prompts!$B$4:$B$1000,A9,Prompts!$E$4:$E$1000,"Needs Review")=0,"Complete","In Progress")))</f>
        <v/>
      </c>
    </row>
    <row r="10" spans="1:7" ht="45" customHeight="1" x14ac:dyDescent="0.3">
      <c r="A10" s="5"/>
      <c r="B10" s="5"/>
      <c r="C10" s="5"/>
      <c r="D10" s="9" t="str">
        <f>IF(A10="","",COUNTIF(Prompts!$B$4:$B$1000,A10))</f>
        <v/>
      </c>
      <c r="E10" s="9" t="str">
        <f>IF(A10="","",SUMIF(Prompts!$B$4:$B$1000,A10,Prompts!$F$4:$F$1000))</f>
        <v/>
      </c>
      <c r="F10" s="10" t="str">
        <f t="shared" si="0"/>
        <v/>
      </c>
      <c r="G10" s="5" t="str">
        <f>IF(A10="","",IF(D10=0,"Empty",IF(COUNTIFS(Prompts!$B$4:$B$1000,A10,Prompts!$E$4:$E$1000,"Draft")+COUNTIFS(Prompts!$B$4:$B$1000,A10,Prompts!$E$4:$E$1000,"Testing")+COUNTIFS(Prompts!$B$4:$B$1000,A10,Prompts!$E$4:$E$1000,"Needs Review")=0,"Complete","In Progress")))</f>
        <v/>
      </c>
    </row>
    <row r="11" spans="1:7" ht="45" customHeight="1" x14ac:dyDescent="0.3">
      <c r="A11" s="5"/>
      <c r="B11" s="5"/>
      <c r="C11" s="5"/>
      <c r="D11" s="9" t="str">
        <f>IF(A11="","",COUNTIF(Prompts!$B$4:$B$1000,A11))</f>
        <v/>
      </c>
      <c r="E11" s="9" t="str">
        <f>IF(A11="","",SUMIF(Prompts!$B$4:$B$1000,A11,Prompts!$F$4:$F$1000))</f>
        <v/>
      </c>
      <c r="F11" s="10" t="str">
        <f t="shared" si="0"/>
        <v/>
      </c>
      <c r="G11" s="5" t="str">
        <f>IF(A11="","",IF(D11=0,"Empty",IF(COUNTIFS(Prompts!$B$4:$B$1000,A11,Prompts!$E$4:$E$1000,"Draft")+COUNTIFS(Prompts!$B$4:$B$1000,A11,Prompts!$E$4:$E$1000,"Testing")+COUNTIFS(Prompts!$B$4:$B$1000,A11,Prompts!$E$4:$E$1000,"Needs Review")=0,"Complete","In Progress")))</f>
        <v/>
      </c>
    </row>
    <row r="12" spans="1:7" ht="45" customHeight="1" x14ac:dyDescent="0.3">
      <c r="A12" s="5"/>
      <c r="B12" s="5"/>
      <c r="C12" s="5"/>
      <c r="D12" s="9" t="str">
        <f>IF(A12="","",COUNTIF(Prompts!$B$4:$B$1000,A12))</f>
        <v/>
      </c>
      <c r="E12" s="9" t="str">
        <f>IF(A12="","",SUMIF(Prompts!$B$4:$B$1000,A12,Prompts!$F$4:$F$1000))</f>
        <v/>
      </c>
      <c r="F12" s="10" t="str">
        <f t="shared" si="0"/>
        <v/>
      </c>
      <c r="G12" s="5" t="str">
        <f>IF(A12="","",IF(D12=0,"Empty",IF(COUNTIFS(Prompts!$B$4:$B$1000,A12,Prompts!$E$4:$E$1000,"Draft")+COUNTIFS(Prompts!$B$4:$B$1000,A12,Prompts!$E$4:$E$1000,"Testing")+COUNTIFS(Prompts!$B$4:$B$1000,A12,Prompts!$E$4:$E$1000,"Needs Review")=0,"Complete","In Progress")))</f>
        <v/>
      </c>
    </row>
    <row r="13" spans="1:7" ht="45" customHeight="1" x14ac:dyDescent="0.3">
      <c r="A13" s="5"/>
      <c r="B13" s="5"/>
      <c r="C13" s="5"/>
      <c r="D13" s="9" t="str">
        <f>IF(A13="","",COUNTIF(Prompts!$B$4:$B$1000,A13))</f>
        <v/>
      </c>
      <c r="E13" s="9" t="str">
        <f>IF(A13="","",SUMIF(Prompts!$B$4:$B$1000,A13,Prompts!$F$4:$F$1000))</f>
        <v/>
      </c>
      <c r="F13" s="10" t="str">
        <f t="shared" si="0"/>
        <v/>
      </c>
      <c r="G13" s="5" t="str">
        <f>IF(A13="","",IF(D13=0,"Empty",IF(COUNTIFS(Prompts!$B$4:$B$1000,A13,Prompts!$E$4:$E$1000,"Draft")+COUNTIFS(Prompts!$B$4:$B$1000,A13,Prompts!$E$4:$E$1000,"Testing")+COUNTIFS(Prompts!$B$4:$B$1000,A13,Prompts!$E$4:$E$1000,"Needs Review")=0,"Complete","In Progress")))</f>
        <v/>
      </c>
    </row>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showGridLines="0" tabSelected="1" zoomScale="70" zoomScaleNormal="70" workbookViewId="0">
      <pane ySplit="3" topLeftCell="A32" activePane="bottomLeft" state="frozen"/>
      <selection pane="bottomLeft" activeCell="C34" sqref="C34"/>
    </sheetView>
  </sheetViews>
  <sheetFormatPr defaultColWidth="8.6640625" defaultRowHeight="14.4" x14ac:dyDescent="0.3"/>
  <cols>
    <col min="1" max="2" width="11" customWidth="1"/>
    <col min="3" max="3" width="43.109375" customWidth="1"/>
    <col min="4" max="4" width="60" customWidth="1"/>
    <col min="5" max="5" width="14" customWidth="1"/>
    <col min="6" max="6" width="13" customWidth="1"/>
    <col min="7" max="7" width="18" customWidth="1"/>
    <col min="8" max="8" width="35" customWidth="1"/>
  </cols>
  <sheetData>
    <row r="1" spans="1:8" ht="21" x14ac:dyDescent="0.4">
      <c r="A1" s="25" t="s">
        <v>33</v>
      </c>
      <c r="B1" s="25"/>
      <c r="C1" s="25"/>
      <c r="D1" s="25"/>
      <c r="E1" s="25"/>
      <c r="F1" s="25"/>
      <c r="G1" s="25"/>
      <c r="H1" s="25"/>
    </row>
    <row r="3" spans="1:8" ht="30" customHeight="1" x14ac:dyDescent="0.3">
      <c r="A3" s="4" t="s">
        <v>34</v>
      </c>
      <c r="B3" s="4" t="s">
        <v>24</v>
      </c>
      <c r="C3" s="4" t="s">
        <v>35</v>
      </c>
      <c r="D3" s="4" t="s">
        <v>36</v>
      </c>
      <c r="E3" s="4" t="s">
        <v>37</v>
      </c>
      <c r="F3" s="4" t="s">
        <v>38</v>
      </c>
      <c r="G3" s="4" t="s">
        <v>39</v>
      </c>
      <c r="H3" s="4" t="s">
        <v>40</v>
      </c>
    </row>
    <row r="4" spans="1:8" ht="133.19999999999999" customHeight="1" x14ac:dyDescent="0.3">
      <c r="A4" s="8" t="s">
        <v>41</v>
      </c>
      <c r="B4" s="8"/>
      <c r="C4" s="5" t="s">
        <v>70</v>
      </c>
      <c r="D4" s="5" t="s">
        <v>69</v>
      </c>
      <c r="E4" s="8" t="s">
        <v>71</v>
      </c>
      <c r="F4" s="20" t="s">
        <v>72</v>
      </c>
      <c r="G4" s="8" t="s">
        <v>73</v>
      </c>
      <c r="H4" s="5" t="s">
        <v>74</v>
      </c>
    </row>
    <row r="5" spans="1:8" ht="238.8" customHeight="1" x14ac:dyDescent="0.3">
      <c r="A5" s="8" t="s">
        <v>43</v>
      </c>
      <c r="B5" s="8"/>
      <c r="C5" s="5" t="s">
        <v>70</v>
      </c>
      <c r="D5" s="5" t="s">
        <v>75</v>
      </c>
      <c r="E5" s="8" t="s">
        <v>52</v>
      </c>
      <c r="F5" s="6" t="s">
        <v>72</v>
      </c>
      <c r="G5" s="18" t="s">
        <v>73</v>
      </c>
      <c r="H5" s="5" t="s">
        <v>76</v>
      </c>
    </row>
    <row r="6" spans="1:8" ht="241.8" customHeight="1" x14ac:dyDescent="0.3">
      <c r="A6" s="8" t="s">
        <v>45</v>
      </c>
      <c r="B6" s="8" t="s">
        <v>31</v>
      </c>
      <c r="C6" s="5" t="s">
        <v>70</v>
      </c>
      <c r="D6" s="19" t="s">
        <v>77</v>
      </c>
      <c r="E6" s="8" t="s">
        <v>42</v>
      </c>
      <c r="F6" s="20" t="s">
        <v>72</v>
      </c>
      <c r="G6" s="8" t="s">
        <v>73</v>
      </c>
      <c r="H6" s="19" t="s">
        <v>78</v>
      </c>
    </row>
    <row r="7" spans="1:8" ht="204" customHeight="1" x14ac:dyDescent="0.3">
      <c r="A7" s="18" t="s">
        <v>47</v>
      </c>
      <c r="B7" s="18" t="s">
        <v>31</v>
      </c>
      <c r="C7" s="5" t="s">
        <v>70</v>
      </c>
      <c r="D7" s="19" t="s">
        <v>79</v>
      </c>
      <c r="E7" s="8" t="s">
        <v>42</v>
      </c>
      <c r="F7" s="20" t="s">
        <v>80</v>
      </c>
      <c r="G7" s="18" t="s">
        <v>73</v>
      </c>
      <c r="H7" s="19" t="s">
        <v>81</v>
      </c>
    </row>
    <row r="8" spans="1:8" ht="408.6" customHeight="1" x14ac:dyDescent="0.3">
      <c r="A8" s="18" t="s">
        <v>48</v>
      </c>
      <c r="B8" s="18" t="s">
        <v>31</v>
      </c>
      <c r="C8" s="5" t="s">
        <v>70</v>
      </c>
      <c r="D8" s="19" t="s">
        <v>82</v>
      </c>
      <c r="E8" s="18" t="s">
        <v>42</v>
      </c>
      <c r="F8" s="20" t="s">
        <v>80</v>
      </c>
      <c r="G8" s="18" t="s">
        <v>73</v>
      </c>
      <c r="H8" s="19" t="s">
        <v>78</v>
      </c>
    </row>
    <row r="9" spans="1:8" ht="132" customHeight="1" x14ac:dyDescent="0.3">
      <c r="A9" s="18" t="s">
        <v>50</v>
      </c>
      <c r="B9" s="18" t="s">
        <v>32</v>
      </c>
      <c r="C9" s="5"/>
      <c r="D9" s="19" t="s">
        <v>83</v>
      </c>
      <c r="E9" s="8"/>
      <c r="F9" s="6"/>
      <c r="G9" s="8"/>
      <c r="H9" s="5"/>
    </row>
    <row r="10" spans="1:8" ht="295.8" customHeight="1" x14ac:dyDescent="0.3">
      <c r="A10" s="18" t="s">
        <v>51</v>
      </c>
      <c r="B10" s="8" t="s">
        <v>32</v>
      </c>
      <c r="C10" s="5"/>
      <c r="D10" s="19" t="s">
        <v>84</v>
      </c>
      <c r="E10" s="8" t="s">
        <v>42</v>
      </c>
      <c r="F10" s="6" t="s">
        <v>86</v>
      </c>
      <c r="G10" s="8"/>
      <c r="H10" s="5" t="s">
        <v>78</v>
      </c>
    </row>
    <row r="11" spans="1:8" ht="54.75" customHeight="1" x14ac:dyDescent="0.3">
      <c r="A11" s="18" t="s">
        <v>85</v>
      </c>
      <c r="B11" s="8" t="s">
        <v>32</v>
      </c>
      <c r="C11" s="5"/>
      <c r="D11" s="19" t="s">
        <v>88</v>
      </c>
      <c r="E11" s="8" t="s">
        <v>42</v>
      </c>
      <c r="F11" s="6" t="s">
        <v>86</v>
      </c>
      <c r="G11" s="8"/>
      <c r="H11" s="5" t="s">
        <v>78</v>
      </c>
    </row>
    <row r="12" spans="1:8" ht="150" customHeight="1" x14ac:dyDescent="0.3">
      <c r="A12" s="8" t="s">
        <v>90</v>
      </c>
      <c r="B12" s="8"/>
      <c r="C12" s="5" t="s">
        <v>92</v>
      </c>
      <c r="D12" s="5" t="s">
        <v>89</v>
      </c>
      <c r="E12" s="8" t="s">
        <v>42</v>
      </c>
      <c r="F12" s="6" t="s">
        <v>86</v>
      </c>
      <c r="G12" s="8"/>
      <c r="H12" s="5" t="s">
        <v>91</v>
      </c>
    </row>
    <row r="13" spans="1:8" ht="54.75" customHeight="1" x14ac:dyDescent="0.3">
      <c r="A13" s="8" t="s">
        <v>93</v>
      </c>
      <c r="B13" s="8"/>
      <c r="C13" s="5"/>
      <c r="D13" s="21" t="s">
        <v>94</v>
      </c>
      <c r="E13" s="8" t="s">
        <v>42</v>
      </c>
      <c r="F13" s="6"/>
      <c r="G13" s="8"/>
      <c r="H13" s="19" t="s">
        <v>78</v>
      </c>
    </row>
    <row r="14" spans="1:8" ht="41.4" customHeight="1" x14ac:dyDescent="0.4">
      <c r="A14" s="8" t="s">
        <v>95</v>
      </c>
      <c r="B14" s="8"/>
      <c r="C14" s="5" t="s">
        <v>96</v>
      </c>
      <c r="D14" s="22" t="s">
        <v>97</v>
      </c>
      <c r="E14" s="18" t="s">
        <v>52</v>
      </c>
      <c r="F14" s="6"/>
      <c r="G14" s="8"/>
      <c r="H14" s="19" t="s">
        <v>76</v>
      </c>
    </row>
    <row r="15" spans="1:8" ht="54.75" customHeight="1" x14ac:dyDescent="0.3">
      <c r="A15" s="18" t="s">
        <v>99</v>
      </c>
      <c r="B15" s="8"/>
      <c r="C15" s="5" t="s">
        <v>96</v>
      </c>
      <c r="D15" s="19" t="s">
        <v>98</v>
      </c>
      <c r="E15" s="8" t="s">
        <v>42</v>
      </c>
      <c r="F15" s="6"/>
      <c r="G15" s="8"/>
      <c r="H15" s="19" t="s">
        <v>78</v>
      </c>
    </row>
    <row r="16" spans="1:8" ht="394.2" customHeight="1" x14ac:dyDescent="0.3">
      <c r="A16" s="18" t="s">
        <v>100</v>
      </c>
      <c r="B16" s="8"/>
      <c r="C16" s="19" t="s">
        <v>102</v>
      </c>
      <c r="D16" s="19" t="s">
        <v>101</v>
      </c>
      <c r="E16" s="18" t="s">
        <v>42</v>
      </c>
      <c r="F16" s="20" t="s">
        <v>111</v>
      </c>
      <c r="G16" s="8"/>
      <c r="H16" s="19" t="s">
        <v>78</v>
      </c>
    </row>
    <row r="17" spans="1:8" ht="145.19999999999999" customHeight="1" x14ac:dyDescent="0.3">
      <c r="A17" s="8" t="s">
        <v>104</v>
      </c>
      <c r="B17" s="8"/>
      <c r="C17" s="5"/>
      <c r="D17" s="23" t="s">
        <v>106</v>
      </c>
      <c r="E17" s="18" t="s">
        <v>42</v>
      </c>
      <c r="F17" s="20" t="s">
        <v>86</v>
      </c>
      <c r="G17" s="8"/>
      <c r="H17" s="19" t="s">
        <v>91</v>
      </c>
    </row>
    <row r="18" spans="1:8" ht="153" customHeight="1" x14ac:dyDescent="0.3">
      <c r="A18" s="8" t="s">
        <v>105</v>
      </c>
      <c r="B18" s="8"/>
      <c r="C18" s="5"/>
      <c r="D18" s="23" t="s">
        <v>107</v>
      </c>
      <c r="E18" s="8"/>
      <c r="F18" s="6"/>
      <c r="G18" s="8"/>
      <c r="H18" s="5"/>
    </row>
    <row r="19" spans="1:8" ht="176.4" customHeight="1" x14ac:dyDescent="0.3">
      <c r="A19" s="8" t="s">
        <v>108</v>
      </c>
      <c r="B19" s="8"/>
      <c r="C19" s="5"/>
      <c r="D19" s="23" t="s">
        <v>103</v>
      </c>
      <c r="E19" s="8" t="s">
        <v>42</v>
      </c>
      <c r="F19" s="20" t="s">
        <v>140</v>
      </c>
      <c r="G19" s="8"/>
      <c r="H19" s="19" t="s">
        <v>91</v>
      </c>
    </row>
    <row r="20" spans="1:8" ht="69.599999999999994" customHeight="1" x14ac:dyDescent="0.3">
      <c r="A20" s="18" t="s">
        <v>110</v>
      </c>
      <c r="B20" s="8"/>
      <c r="C20" s="19" t="s">
        <v>112</v>
      </c>
      <c r="D20" s="24" t="s">
        <v>109</v>
      </c>
      <c r="E20" s="8" t="s">
        <v>42</v>
      </c>
      <c r="F20" s="20" t="s">
        <v>86</v>
      </c>
      <c r="G20" s="8"/>
      <c r="H20" s="19" t="s">
        <v>91</v>
      </c>
    </row>
    <row r="21" spans="1:8" ht="167.4" customHeight="1" x14ac:dyDescent="0.3">
      <c r="A21" s="8" t="s">
        <v>113</v>
      </c>
      <c r="B21" s="8"/>
      <c r="C21" s="5" t="s">
        <v>118</v>
      </c>
      <c r="D21" s="23" t="s">
        <v>114</v>
      </c>
      <c r="E21" s="8" t="s">
        <v>42</v>
      </c>
      <c r="F21" s="6" t="s">
        <v>115</v>
      </c>
      <c r="G21" s="8" t="s">
        <v>116</v>
      </c>
      <c r="H21" s="5" t="s">
        <v>91</v>
      </c>
    </row>
    <row r="22" spans="1:8" ht="54.75" customHeight="1" x14ac:dyDescent="0.3">
      <c r="A22" s="8" t="s">
        <v>119</v>
      </c>
      <c r="B22" s="8"/>
      <c r="C22" s="19" t="s">
        <v>120</v>
      </c>
      <c r="D22" s="19" t="s">
        <v>117</v>
      </c>
      <c r="E22" s="18" t="s">
        <v>42</v>
      </c>
      <c r="F22" s="20" t="s">
        <v>140</v>
      </c>
      <c r="G22" s="18" t="s">
        <v>116</v>
      </c>
      <c r="H22" s="19" t="s">
        <v>91</v>
      </c>
    </row>
    <row r="23" spans="1:8" ht="54.75" customHeight="1" x14ac:dyDescent="0.3">
      <c r="A23" s="18" t="s">
        <v>127</v>
      </c>
      <c r="B23" s="8"/>
      <c r="C23" s="19" t="s">
        <v>130</v>
      </c>
      <c r="D23" s="19" t="s">
        <v>126</v>
      </c>
      <c r="E23" s="18" t="s">
        <v>42</v>
      </c>
      <c r="F23" s="20" t="s">
        <v>124</v>
      </c>
      <c r="G23" s="18" t="s">
        <v>123</v>
      </c>
      <c r="H23" s="19" t="s">
        <v>91</v>
      </c>
    </row>
    <row r="24" spans="1:8" ht="54.75" customHeight="1" x14ac:dyDescent="0.3">
      <c r="A24" s="18" t="s">
        <v>128</v>
      </c>
      <c r="B24" s="8"/>
      <c r="C24" s="19" t="s">
        <v>130</v>
      </c>
      <c r="D24" s="19" t="s">
        <v>121</v>
      </c>
      <c r="E24" s="8" t="s">
        <v>42</v>
      </c>
      <c r="F24" s="20" t="s">
        <v>140</v>
      </c>
      <c r="G24" s="18" t="s">
        <v>123</v>
      </c>
      <c r="H24" s="19" t="s">
        <v>125</v>
      </c>
    </row>
    <row r="25" spans="1:8" ht="54.75" customHeight="1" x14ac:dyDescent="0.3">
      <c r="A25" s="18" t="s">
        <v>129</v>
      </c>
      <c r="B25" s="8"/>
      <c r="C25" s="19" t="s">
        <v>130</v>
      </c>
      <c r="D25" s="19" t="s">
        <v>122</v>
      </c>
      <c r="E25" s="8" t="s">
        <v>42</v>
      </c>
      <c r="F25" s="20" t="s">
        <v>140</v>
      </c>
      <c r="G25" s="18" t="s">
        <v>123</v>
      </c>
      <c r="H25" s="19" t="s">
        <v>125</v>
      </c>
    </row>
    <row r="26" spans="1:8" ht="54.75" customHeight="1" x14ac:dyDescent="0.3">
      <c r="A26" s="18" t="s">
        <v>131</v>
      </c>
      <c r="B26" s="8"/>
      <c r="C26" s="19" t="s">
        <v>133</v>
      </c>
      <c r="D26" s="19" t="s">
        <v>132</v>
      </c>
      <c r="E26" s="8" t="s">
        <v>42</v>
      </c>
      <c r="F26" s="20" t="s">
        <v>140</v>
      </c>
      <c r="G26" s="18" t="s">
        <v>123</v>
      </c>
      <c r="H26" s="19" t="s">
        <v>134</v>
      </c>
    </row>
    <row r="27" spans="1:8" ht="54.75" customHeight="1" x14ac:dyDescent="0.3">
      <c r="A27" s="18" t="s">
        <v>135</v>
      </c>
      <c r="B27" s="8"/>
      <c r="C27" s="19" t="s">
        <v>133</v>
      </c>
      <c r="D27" s="19" t="s">
        <v>136</v>
      </c>
      <c r="E27" s="8" t="s">
        <v>42</v>
      </c>
      <c r="F27" s="20" t="s">
        <v>115</v>
      </c>
      <c r="G27" s="18" t="s">
        <v>123</v>
      </c>
      <c r="H27" s="19" t="s">
        <v>139</v>
      </c>
    </row>
    <row r="28" spans="1:8" ht="54.75" customHeight="1" x14ac:dyDescent="0.3">
      <c r="A28" s="18" t="s">
        <v>137</v>
      </c>
      <c r="B28" s="8"/>
      <c r="C28" s="19" t="s">
        <v>133</v>
      </c>
      <c r="D28" s="19" t="s">
        <v>138</v>
      </c>
      <c r="E28" s="8" t="s">
        <v>42</v>
      </c>
      <c r="F28" s="20" t="s">
        <v>111</v>
      </c>
      <c r="G28" s="18" t="s">
        <v>123</v>
      </c>
      <c r="H28" s="19" t="s">
        <v>91</v>
      </c>
    </row>
    <row r="29" spans="1:8" ht="54.75" customHeight="1" x14ac:dyDescent="0.3">
      <c r="A29" s="18" t="s">
        <v>141</v>
      </c>
      <c r="B29" s="8"/>
      <c r="C29" s="19" t="s">
        <v>144</v>
      </c>
      <c r="D29" s="19" t="s">
        <v>142</v>
      </c>
      <c r="E29" s="18" t="s">
        <v>42</v>
      </c>
      <c r="F29" s="20" t="s">
        <v>143</v>
      </c>
      <c r="G29" s="18" t="s">
        <v>123</v>
      </c>
      <c r="H29" s="19" t="s">
        <v>91</v>
      </c>
    </row>
    <row r="30" spans="1:8" ht="54.75" customHeight="1" x14ac:dyDescent="0.3">
      <c r="A30" s="18" t="s">
        <v>148</v>
      </c>
      <c r="B30" s="8"/>
      <c r="C30" s="19" t="s">
        <v>147</v>
      </c>
      <c r="D30" s="19" t="s">
        <v>145</v>
      </c>
      <c r="E30" s="18" t="s">
        <v>42</v>
      </c>
      <c r="F30" s="20" t="s">
        <v>115</v>
      </c>
      <c r="G30" s="18" t="s">
        <v>123</v>
      </c>
      <c r="H30" s="19" t="s">
        <v>150</v>
      </c>
    </row>
    <row r="31" spans="1:8" ht="54.75" customHeight="1" x14ac:dyDescent="0.3">
      <c r="A31" s="18" t="s">
        <v>149</v>
      </c>
      <c r="B31" s="8"/>
      <c r="C31" s="19" t="s">
        <v>147</v>
      </c>
      <c r="D31" s="19" t="s">
        <v>146</v>
      </c>
      <c r="E31" s="18" t="s">
        <v>42</v>
      </c>
      <c r="F31" s="20" t="s">
        <v>140</v>
      </c>
      <c r="G31" s="18" t="s">
        <v>123</v>
      </c>
      <c r="H31" s="19" t="s">
        <v>150</v>
      </c>
    </row>
    <row r="32" spans="1:8" ht="54.75" customHeight="1" x14ac:dyDescent="0.3">
      <c r="A32" s="18" t="s">
        <v>149</v>
      </c>
      <c r="B32" s="8"/>
      <c r="C32" s="19" t="s">
        <v>152</v>
      </c>
      <c r="D32" s="19" t="s">
        <v>151</v>
      </c>
      <c r="E32" s="18" t="s">
        <v>42</v>
      </c>
      <c r="F32" s="20" t="s">
        <v>140</v>
      </c>
      <c r="G32" s="18" t="s">
        <v>116</v>
      </c>
      <c r="H32" s="19" t="s">
        <v>91</v>
      </c>
    </row>
    <row r="33" spans="1:8" ht="54.75" customHeight="1" x14ac:dyDescent="0.3">
      <c r="A33" s="18" t="s">
        <v>149</v>
      </c>
      <c r="B33" s="8"/>
      <c r="C33" s="19" t="s">
        <v>152</v>
      </c>
      <c r="D33" s="19" t="s">
        <v>153</v>
      </c>
      <c r="E33" s="18" t="s">
        <v>42</v>
      </c>
      <c r="F33" s="20" t="s">
        <v>140</v>
      </c>
      <c r="G33" s="18" t="s">
        <v>116</v>
      </c>
      <c r="H33" s="19" t="s">
        <v>91</v>
      </c>
    </row>
    <row r="34" spans="1:8" ht="409.6" x14ac:dyDescent="0.3">
      <c r="A34" s="29" t="s">
        <v>158</v>
      </c>
      <c r="C34" s="31" t="s">
        <v>157</v>
      </c>
      <c r="D34" s="28" t="s">
        <v>154</v>
      </c>
      <c r="E34" s="29" t="s">
        <v>42</v>
      </c>
      <c r="F34" s="30" t="s">
        <v>140</v>
      </c>
      <c r="G34" s="29" t="s">
        <v>155</v>
      </c>
      <c r="H34" s="31" t="s">
        <v>156</v>
      </c>
    </row>
  </sheetData>
  <mergeCells count="1">
    <mergeCell ref="A1:H1"/>
  </mergeCells>
  <dataValidations count="2">
    <dataValidation type="list" allowBlank="1" errorTitle="Invalid status" error="Pick one of: Draft, Testing, Success, Failed, Needs Review" promptTitle="Status" prompt="Choose a status" sqref="E4:E1000" xr:uid="{00000000-0002-0000-0200-000000000000}">
      <formula1>"Draft,Testing,Success,Failed,Needs Review"</formula1>
      <formula2>0</formula2>
    </dataValidation>
    <dataValidation type="whole" operator="greaterThanOrEqual" allowBlank="1" errorTitle="Invalid tokens" error="Tokens must be a whole number ≥ 0" sqref="F4:F1000" xr:uid="{00000000-0002-0000-0200-000002000000}">
      <formula1>0</formula1>
      <formula2>0</formula2>
    </dataValidation>
  </dataValidations>
  <pageMargins left="0.75" right="0.75" top="1" bottom="1" header="0.511811023622047" footer="0.511811023622047"/>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promptTitle="Group ID" prompt="Pick a Group ID from the Groups sheet" xr:uid="{00000000-0002-0000-0200-000001000000}">
          <x14:formula1>
            <xm:f>Groups!$A$4:$A$50</xm:f>
          </x14:formula1>
          <x14:formula2>
            <xm:f>0</xm:f>
          </x14:formula2>
          <xm:sqref>B4:B1000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showGridLines="0" zoomScaleNormal="100" workbookViewId="0"/>
  </sheetViews>
  <sheetFormatPr defaultColWidth="8.6640625" defaultRowHeight="14.4" x14ac:dyDescent="0.3"/>
  <cols>
    <col min="1" max="1" width="24" customWidth="1"/>
    <col min="2" max="2" width="26" customWidth="1"/>
    <col min="3" max="6" width="14" customWidth="1"/>
  </cols>
  <sheetData>
    <row r="1" spans="1:3" ht="21" x14ac:dyDescent="0.4">
      <c r="A1" s="1" t="s">
        <v>53</v>
      </c>
    </row>
    <row r="3" spans="1:3" x14ac:dyDescent="0.3">
      <c r="A3" s="26" t="s">
        <v>54</v>
      </c>
      <c r="B3" s="26"/>
      <c r="C3" s="26"/>
    </row>
    <row r="4" spans="1:3" x14ac:dyDescent="0.3">
      <c r="A4" s="11" t="s">
        <v>55</v>
      </c>
      <c r="B4" s="12">
        <f>COUNTA(Prompts!A4:A1000)</f>
        <v>31</v>
      </c>
    </row>
    <row r="5" spans="1:3" x14ac:dyDescent="0.3">
      <c r="A5" s="11" t="s">
        <v>56</v>
      </c>
      <c r="B5" s="12">
        <f>COUNTA(Groups!A4:A50)</f>
        <v>2</v>
      </c>
    </row>
    <row r="6" spans="1:3" x14ac:dyDescent="0.3">
      <c r="A6" s="11" t="s">
        <v>57</v>
      </c>
      <c r="B6" s="12">
        <f>SUM(Prompts!F4:F1000)</f>
        <v>0</v>
      </c>
    </row>
    <row r="7" spans="1:3" x14ac:dyDescent="0.3">
      <c r="A7" s="11" t="s">
        <v>58</v>
      </c>
      <c r="B7" s="12">
        <f>IFERROR(SUM(Prompts!F4:F1000)/COUNTIF(Prompts!F4:F1000,"&gt;0"),0)</f>
        <v>0</v>
      </c>
    </row>
    <row r="8" spans="1:3" x14ac:dyDescent="0.3">
      <c r="A8" s="11" t="s">
        <v>59</v>
      </c>
      <c r="B8" s="12">
        <f>IFERROR(MAX(Prompts!F4:F1000),0)</f>
        <v>0</v>
      </c>
    </row>
    <row r="9" spans="1:3" x14ac:dyDescent="0.3">
      <c r="A9" s="11" t="s">
        <v>60</v>
      </c>
      <c r="B9" s="12">
        <f>IFERROR(SMALL(Prompts!F4:F1000,COUNTIF(Prompts!F4:F1000,0)+1),0)</f>
        <v>0</v>
      </c>
    </row>
    <row r="10" spans="1:3" x14ac:dyDescent="0.3">
      <c r="A10" s="11" t="s">
        <v>61</v>
      </c>
      <c r="B10" s="13">
        <f>IFERROR(COUNTIF(Prompts!E4:E1000,"Success")/COUNTA(Prompts!A4:A1000),0)</f>
        <v>0.83870967741935487</v>
      </c>
    </row>
    <row r="11" spans="1:3" x14ac:dyDescent="0.3">
      <c r="A11" s="11" t="s">
        <v>62</v>
      </c>
      <c r="B11" s="13">
        <f>IFERROR(COUNTIF(Prompts!E4:E1000,"Failed")/COUNTA(Prompts!A4:A1000),0)</f>
        <v>9.6774193548387094E-2</v>
      </c>
    </row>
    <row r="14" spans="1:3" x14ac:dyDescent="0.3">
      <c r="A14" s="27" t="s">
        <v>63</v>
      </c>
      <c r="B14" s="27"/>
      <c r="C14" s="27"/>
    </row>
    <row r="15" spans="1:3" ht="24" customHeight="1" x14ac:dyDescent="0.3">
      <c r="A15" s="4" t="s">
        <v>37</v>
      </c>
      <c r="B15" s="4" t="s">
        <v>64</v>
      </c>
      <c r="C15" s="4" t="s">
        <v>65</v>
      </c>
    </row>
    <row r="16" spans="1:3" x14ac:dyDescent="0.3">
      <c r="A16" s="5" t="s">
        <v>46</v>
      </c>
      <c r="B16" s="14">
        <f>COUNTIF(Prompts!E4:E1000,A16)</f>
        <v>0</v>
      </c>
      <c r="C16" s="14">
        <f>SUMIF(Prompts!E4:E1000,A16,Prompts!F4:F1000)</f>
        <v>0</v>
      </c>
    </row>
    <row r="17" spans="1:6" x14ac:dyDescent="0.3">
      <c r="A17" s="5" t="s">
        <v>44</v>
      </c>
      <c r="B17" s="14">
        <f>COUNTIF(Prompts!E4:E1000,A17)</f>
        <v>0</v>
      </c>
      <c r="C17" s="14">
        <f>SUMIF(Prompts!E4:E1000,A17,Prompts!F4:F1000)</f>
        <v>0</v>
      </c>
    </row>
    <row r="18" spans="1:6" x14ac:dyDescent="0.3">
      <c r="A18" s="5" t="s">
        <v>42</v>
      </c>
      <c r="B18" s="14">
        <f>COUNTIF(Prompts!E4:E1000,A18)</f>
        <v>26</v>
      </c>
      <c r="C18" s="14">
        <f>SUMIF(Prompts!E4:E1000,A18,Prompts!F4:F1000)</f>
        <v>0</v>
      </c>
    </row>
    <row r="19" spans="1:6" x14ac:dyDescent="0.3">
      <c r="A19" s="5" t="s">
        <v>52</v>
      </c>
      <c r="B19" s="14">
        <f>COUNTIF(Prompts!E4:E1000,A19)</f>
        <v>3</v>
      </c>
      <c r="C19" s="14">
        <f>SUMIF(Prompts!E4:E1000,A19,Prompts!F4:F1000)</f>
        <v>0</v>
      </c>
    </row>
    <row r="20" spans="1:6" x14ac:dyDescent="0.3">
      <c r="A20" s="5" t="s">
        <v>49</v>
      </c>
      <c r="B20" s="14">
        <f>COUNTIF(Prompts!E4:E1000,A20)</f>
        <v>0</v>
      </c>
      <c r="C20" s="14">
        <f>SUMIF(Prompts!E4:E1000,A20,Prompts!F4:F1000)</f>
        <v>0</v>
      </c>
    </row>
    <row r="21" spans="1:6" x14ac:dyDescent="0.3">
      <c r="A21" s="15" t="s">
        <v>66</v>
      </c>
      <c r="B21" s="16">
        <f>SUM(B16:B20)</f>
        <v>29</v>
      </c>
      <c r="C21" s="16">
        <f>SUM(C16:C20)</f>
        <v>0</v>
      </c>
    </row>
    <row r="24" spans="1:6" x14ac:dyDescent="0.3">
      <c r="A24" s="27" t="s">
        <v>67</v>
      </c>
      <c r="B24" s="27"/>
      <c r="C24" s="27"/>
      <c r="D24" s="27"/>
      <c r="E24" s="27"/>
      <c r="F24" s="27"/>
    </row>
    <row r="25" spans="1:6" ht="24" customHeight="1" x14ac:dyDescent="0.3">
      <c r="A25" s="4" t="s">
        <v>24</v>
      </c>
      <c r="B25" s="4" t="s">
        <v>25</v>
      </c>
      <c r="C25" s="4" t="s">
        <v>33</v>
      </c>
      <c r="D25" s="4" t="s">
        <v>65</v>
      </c>
      <c r="E25" s="4" t="s">
        <v>42</v>
      </c>
      <c r="F25" s="4" t="s">
        <v>68</v>
      </c>
    </row>
    <row r="26" spans="1:6" x14ac:dyDescent="0.3">
      <c r="A26" s="8" t="str">
        <f>IF(Groups!A4="","",Groups!A4)</f>
        <v>G001</v>
      </c>
      <c r="B26" s="5">
        <f>IF(Groups!A4="","",Groups!B4)</f>
        <v>0</v>
      </c>
      <c r="C26" s="14">
        <f>IF(Groups!A4="","",COUNTIF(Prompts!$B$4:$B$1000,Groups!A4))</f>
        <v>3</v>
      </c>
      <c r="D26" s="14">
        <f>IF(Groups!A4="","",SUMIF(Prompts!$B$4:$B$1000,Groups!A4,Prompts!$F$4:$F$1000))</f>
        <v>0</v>
      </c>
      <c r="E26" s="14">
        <f>IF(Groups!A4="","",COUNTIFS(Prompts!$B$4:$B$1000,Groups!A4,Prompts!$E$4:$E$1000,"Success"))</f>
        <v>3</v>
      </c>
      <c r="F26" s="17">
        <f t="shared" ref="F26:F35" si="0">IFERROR(E26/C26,"")</f>
        <v>1</v>
      </c>
    </row>
    <row r="27" spans="1:6" x14ac:dyDescent="0.3">
      <c r="A27" s="8" t="str">
        <f>IF(Groups!A5="","",Groups!A5)</f>
        <v>G002</v>
      </c>
      <c r="B27" s="5">
        <f>IF(Groups!A5="","",Groups!B5)</f>
        <v>0</v>
      </c>
      <c r="C27" s="14">
        <f>IF(Groups!A5="","",COUNTIF(Prompts!$B$4:$B$1000,Groups!A5))</f>
        <v>3</v>
      </c>
      <c r="D27" s="14">
        <f>IF(Groups!A5="","",SUMIF(Prompts!$B$4:$B$1000,Groups!A5,Prompts!$F$4:$F$1000))</f>
        <v>0</v>
      </c>
      <c r="E27" s="14">
        <f>IF(Groups!A5="","",COUNTIFS(Prompts!$B$4:$B$1000,Groups!A5,Prompts!$E$4:$E$1000,"Success"))</f>
        <v>2</v>
      </c>
      <c r="F27" s="17">
        <f t="shared" si="0"/>
        <v>0.66666666666666663</v>
      </c>
    </row>
    <row r="28" spans="1:6" x14ac:dyDescent="0.3">
      <c r="A28" s="8" t="str">
        <f>IF(Groups!A6="","",Groups!A6)</f>
        <v/>
      </c>
      <c r="B28" s="5" t="str">
        <f>IF(Groups!A6="","",Groups!B6)</f>
        <v/>
      </c>
      <c r="C28" s="14" t="str">
        <f>IF(Groups!A6="","",COUNTIF(Prompts!$B$4:$B$1000,Groups!A6))</f>
        <v/>
      </c>
      <c r="D28" s="14" t="str">
        <f>IF(Groups!A6="","",SUMIF(Prompts!$B$4:$B$1000,Groups!A6,Prompts!$F$4:$F$1000))</f>
        <v/>
      </c>
      <c r="E28" s="14" t="str">
        <f>IF(Groups!A6="","",COUNTIFS(Prompts!$B$4:$B$1000,Groups!A6,Prompts!$E$4:$E$1000,"Success"))</f>
        <v/>
      </c>
      <c r="F28" s="17" t="str">
        <f t="shared" si="0"/>
        <v/>
      </c>
    </row>
    <row r="29" spans="1:6" x14ac:dyDescent="0.3">
      <c r="A29" s="8" t="str">
        <f>IF(Groups!A7="","",Groups!A7)</f>
        <v/>
      </c>
      <c r="B29" s="5" t="str">
        <f>IF(Groups!A7="","",Groups!B7)</f>
        <v/>
      </c>
      <c r="C29" s="14" t="str">
        <f>IF(Groups!A7="","",COUNTIF(Prompts!$B$4:$B$1000,Groups!A7))</f>
        <v/>
      </c>
      <c r="D29" s="14" t="str">
        <f>IF(Groups!A7="","",SUMIF(Prompts!$B$4:$B$1000,Groups!A7,Prompts!$F$4:$F$1000))</f>
        <v/>
      </c>
      <c r="E29" s="14" t="str">
        <f>IF(Groups!A7="","",COUNTIFS(Prompts!$B$4:$B$1000,Groups!A7,Prompts!$E$4:$E$1000,"Success"))</f>
        <v/>
      </c>
      <c r="F29" s="17" t="str">
        <f t="shared" si="0"/>
        <v/>
      </c>
    </row>
    <row r="30" spans="1:6" x14ac:dyDescent="0.3">
      <c r="A30" s="8" t="str">
        <f>IF(Groups!A8="","",Groups!A8)</f>
        <v/>
      </c>
      <c r="B30" s="5" t="str">
        <f>IF(Groups!A8="","",Groups!B8)</f>
        <v/>
      </c>
      <c r="C30" s="14" t="str">
        <f>IF(Groups!A8="","",COUNTIF(Prompts!$B$4:$B$1000,Groups!A8))</f>
        <v/>
      </c>
      <c r="D30" s="14" t="str">
        <f>IF(Groups!A8="","",SUMIF(Prompts!$B$4:$B$1000,Groups!A8,Prompts!$F$4:$F$1000))</f>
        <v/>
      </c>
      <c r="E30" s="14" t="str">
        <f>IF(Groups!A8="","",COUNTIFS(Prompts!$B$4:$B$1000,Groups!A8,Prompts!$E$4:$E$1000,"Success"))</f>
        <v/>
      </c>
      <c r="F30" s="17" t="str">
        <f t="shared" si="0"/>
        <v/>
      </c>
    </row>
    <row r="31" spans="1:6" x14ac:dyDescent="0.3">
      <c r="A31" s="8" t="str">
        <f>IF(Groups!A9="","",Groups!A9)</f>
        <v/>
      </c>
      <c r="B31" s="5" t="str">
        <f>IF(Groups!A9="","",Groups!B9)</f>
        <v/>
      </c>
      <c r="C31" s="14" t="str">
        <f>IF(Groups!A9="","",COUNTIF(Prompts!$B$4:$B$1000,Groups!A9))</f>
        <v/>
      </c>
      <c r="D31" s="14" t="str">
        <f>IF(Groups!A9="","",SUMIF(Prompts!$B$4:$B$1000,Groups!A9,Prompts!$F$4:$F$1000))</f>
        <v/>
      </c>
      <c r="E31" s="14" t="str">
        <f>IF(Groups!A9="","",COUNTIFS(Prompts!$B$4:$B$1000,Groups!A9,Prompts!$E$4:$E$1000,"Success"))</f>
        <v/>
      </c>
      <c r="F31" s="17" t="str">
        <f t="shared" si="0"/>
        <v/>
      </c>
    </row>
    <row r="32" spans="1:6" x14ac:dyDescent="0.3">
      <c r="A32" s="8" t="str">
        <f>IF(Groups!A10="","",Groups!A10)</f>
        <v/>
      </c>
      <c r="B32" s="5" t="str">
        <f>IF(Groups!A10="","",Groups!B10)</f>
        <v/>
      </c>
      <c r="C32" s="14" t="str">
        <f>IF(Groups!A10="","",COUNTIF(Prompts!$B$4:$B$1000,Groups!A10))</f>
        <v/>
      </c>
      <c r="D32" s="14" t="str">
        <f>IF(Groups!A10="","",SUMIF(Prompts!$B$4:$B$1000,Groups!A10,Prompts!$F$4:$F$1000))</f>
        <v/>
      </c>
      <c r="E32" s="14" t="str">
        <f>IF(Groups!A10="","",COUNTIFS(Prompts!$B$4:$B$1000,Groups!A10,Prompts!$E$4:$E$1000,"Success"))</f>
        <v/>
      </c>
      <c r="F32" s="17" t="str">
        <f t="shared" si="0"/>
        <v/>
      </c>
    </row>
    <row r="33" spans="1:6" x14ac:dyDescent="0.3">
      <c r="A33" s="8" t="str">
        <f>IF(Groups!A11="","",Groups!A11)</f>
        <v/>
      </c>
      <c r="B33" s="5" t="str">
        <f>IF(Groups!A11="","",Groups!B11)</f>
        <v/>
      </c>
      <c r="C33" s="14" t="str">
        <f>IF(Groups!A11="","",COUNTIF(Prompts!$B$4:$B$1000,Groups!A11))</f>
        <v/>
      </c>
      <c r="D33" s="14" t="str">
        <f>IF(Groups!A11="","",SUMIF(Prompts!$B$4:$B$1000,Groups!A11,Prompts!$F$4:$F$1000))</f>
        <v/>
      </c>
      <c r="E33" s="14" t="str">
        <f>IF(Groups!A11="","",COUNTIFS(Prompts!$B$4:$B$1000,Groups!A11,Prompts!$E$4:$E$1000,"Success"))</f>
        <v/>
      </c>
      <c r="F33" s="17" t="str">
        <f t="shared" si="0"/>
        <v/>
      </c>
    </row>
    <row r="34" spans="1:6" x14ac:dyDescent="0.3">
      <c r="A34" s="8" t="str">
        <f>IF(Groups!A12="","",Groups!A12)</f>
        <v/>
      </c>
      <c r="B34" s="5" t="str">
        <f>IF(Groups!A12="","",Groups!B12)</f>
        <v/>
      </c>
      <c r="C34" s="14" t="str">
        <f>IF(Groups!A12="","",COUNTIF(Prompts!$B$4:$B$1000,Groups!A12))</f>
        <v/>
      </c>
      <c r="D34" s="14" t="str">
        <f>IF(Groups!A12="","",SUMIF(Prompts!$B$4:$B$1000,Groups!A12,Prompts!$F$4:$F$1000))</f>
        <v/>
      </c>
      <c r="E34" s="14" t="str">
        <f>IF(Groups!A12="","",COUNTIFS(Prompts!$B$4:$B$1000,Groups!A12,Prompts!$E$4:$E$1000,"Success"))</f>
        <v/>
      </c>
      <c r="F34" s="17" t="str">
        <f t="shared" si="0"/>
        <v/>
      </c>
    </row>
    <row r="35" spans="1:6" x14ac:dyDescent="0.3">
      <c r="A35" s="8" t="str">
        <f>IF(Groups!A13="","",Groups!A13)</f>
        <v/>
      </c>
      <c r="B35" s="5" t="str">
        <f>IF(Groups!A13="","",Groups!B13)</f>
        <v/>
      </c>
      <c r="C35" s="14" t="str">
        <f>IF(Groups!A13="","",COUNTIF(Prompts!$B$4:$B$1000,Groups!A13))</f>
        <v/>
      </c>
      <c r="D35" s="14" t="str">
        <f>IF(Groups!A13="","",SUMIF(Prompts!$B$4:$B$1000,Groups!A13,Prompts!$F$4:$F$1000))</f>
        <v/>
      </c>
      <c r="E35" s="14" t="str">
        <f>IF(Groups!A13="","",COUNTIFS(Prompts!$B$4:$B$1000,Groups!A13,Prompts!$E$4:$E$1000,"Success"))</f>
        <v/>
      </c>
      <c r="F35" s="17" t="str">
        <f t="shared" si="0"/>
        <v/>
      </c>
    </row>
  </sheetData>
  <mergeCells count="3">
    <mergeCell ref="A3:C3"/>
    <mergeCell ref="A14:C14"/>
    <mergeCell ref="A24:F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Groups</vt:lpstr>
      <vt:lpstr>Prompts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maamoun youssef</cp:lastModifiedBy>
  <cp:revision>0</cp:revision>
  <dcterms:created xsi:type="dcterms:W3CDTF">2026-05-04T11:57:59Z</dcterms:created>
  <dcterms:modified xsi:type="dcterms:W3CDTF">2026-05-11T12:47:26Z</dcterms:modified>
  <dc:language>en-US</dc:language>
</cp:coreProperties>
</file>