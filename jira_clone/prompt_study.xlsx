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Maamoun\Downloads\"/>
    </mc:Choice>
  </mc:AlternateContent>
  <xr:revisionPtr revIDLastSave="0" documentId="13_ncr:1_{CB665309-45F8-4764-8F89-40C38579A15A}" xr6:coauthVersionLast="47" xr6:coauthVersionMax="47" xr10:uidLastSave="{00000000-0000-0000-0000-000000000000}"/>
  <bookViews>
    <workbookView xWindow="-108" yWindow="-108" windowWidth="23256" windowHeight="12720" tabRatio="500" activeTab="2" xr2:uid="{00000000-000D-0000-FFFF-FFFF00000000}"/>
  </bookViews>
  <sheets>
    <sheet name="README" sheetId="1" r:id="rId1"/>
    <sheet name="Groups" sheetId="2" r:id="rId2"/>
    <sheet name="Prompts" sheetId="3" r:id="rId3"/>
    <sheet name="Analysis" sheetId="4" r:id="rId4"/>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E35" i="4" l="1"/>
  <c r="D35" i="4"/>
  <c r="C35" i="4"/>
  <c r="B35" i="4"/>
  <c r="A35" i="4"/>
  <c r="E34" i="4"/>
  <c r="D34" i="4"/>
  <c r="C34" i="4"/>
  <c r="B34" i="4"/>
  <c r="A34" i="4"/>
  <c r="E33" i="4"/>
  <c r="D33" i="4"/>
  <c r="C33" i="4"/>
  <c r="B33" i="4"/>
  <c r="A33" i="4"/>
  <c r="E32" i="4"/>
  <c r="D32" i="4"/>
  <c r="C32" i="4"/>
  <c r="B32" i="4"/>
  <c r="A32" i="4"/>
  <c r="E31" i="4"/>
  <c r="D31" i="4"/>
  <c r="C31" i="4"/>
  <c r="B31" i="4"/>
  <c r="A31" i="4"/>
  <c r="E30" i="4"/>
  <c r="D30" i="4"/>
  <c r="C30" i="4"/>
  <c r="B30" i="4"/>
  <c r="A30" i="4"/>
  <c r="E29" i="4"/>
  <c r="D29" i="4"/>
  <c r="C29" i="4"/>
  <c r="B29" i="4"/>
  <c r="A29" i="4"/>
  <c r="E28" i="4"/>
  <c r="D28" i="4"/>
  <c r="C28" i="4"/>
  <c r="B28" i="4"/>
  <c r="A28" i="4"/>
  <c r="E27" i="4"/>
  <c r="D27" i="4"/>
  <c r="C27" i="4"/>
  <c r="B27" i="4"/>
  <c r="A27" i="4"/>
  <c r="E26" i="4"/>
  <c r="D26" i="4"/>
  <c r="C26" i="4"/>
  <c r="B26" i="4"/>
  <c r="A26" i="4"/>
  <c r="C20" i="4"/>
  <c r="B20" i="4"/>
  <c r="C19" i="4"/>
  <c r="B19" i="4"/>
  <c r="C18" i="4"/>
  <c r="B18" i="4"/>
  <c r="C17" i="4"/>
  <c r="B17" i="4"/>
  <c r="C16" i="4"/>
  <c r="B16" i="4"/>
  <c r="B11" i="4"/>
  <c r="B10" i="4"/>
  <c r="B9" i="4"/>
  <c r="B8" i="4"/>
  <c r="B7" i="4"/>
  <c r="B6" i="4"/>
  <c r="B5" i="4"/>
  <c r="B4" i="4"/>
  <c r="G13" i="2"/>
  <c r="E13" i="2"/>
  <c r="D13" i="2"/>
  <c r="F13" i="2" s="1"/>
  <c r="G12" i="2"/>
  <c r="E12" i="2"/>
  <c r="D12" i="2"/>
  <c r="F12" i="2" s="1"/>
  <c r="G11" i="2"/>
  <c r="E11" i="2"/>
  <c r="D11" i="2"/>
  <c r="F11" i="2" s="1"/>
  <c r="G10" i="2"/>
  <c r="E10" i="2"/>
  <c r="D10" i="2"/>
  <c r="F10" i="2" s="1"/>
  <c r="G9" i="2"/>
  <c r="E9" i="2"/>
  <c r="D9" i="2"/>
  <c r="F9" i="2" s="1"/>
  <c r="G8" i="2"/>
  <c r="E8" i="2"/>
  <c r="D8" i="2"/>
  <c r="F8" i="2" s="1"/>
  <c r="G7" i="2"/>
  <c r="E7" i="2"/>
  <c r="D7" i="2"/>
  <c r="F7" i="2" s="1"/>
  <c r="E4" i="2"/>
  <c r="D4" i="2"/>
  <c r="G4" i="2" s="1"/>
  <c r="F32" i="4" l="1"/>
  <c r="F30" i="4"/>
  <c r="C21" i="4"/>
  <c r="F31" i="4"/>
  <c r="F28" i="4"/>
  <c r="F33" i="4"/>
  <c r="B21" i="4"/>
  <c r="F27" i="4"/>
  <c r="F26" i="4"/>
  <c r="F34" i="4"/>
  <c r="F4" i="2"/>
  <c r="F35" i="4"/>
  <c r="F29"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3" authorId="0" shapeId="0" xr:uid="{00000000-0006-0000-0200-000001000000}">
      <text>
        <r>
          <rPr>
            <sz val="10"/>
            <rFont val="Arial"/>
            <family val="2"/>
          </rPr>
          <t>Pick a Group ID from the Groups sheet. A prompt without a Group ID is treated as standalone.</t>
        </r>
      </text>
    </comment>
  </commentList>
</comments>
</file>

<file path=xl/sharedStrings.xml><?xml version="1.0" encoding="utf-8"?>
<sst xmlns="http://schemas.openxmlformats.org/spreadsheetml/2006/main" count="168" uniqueCount="113">
  <si>
    <t>Prompt Study Workbook</t>
  </si>
  <si>
    <t>Purpose</t>
  </si>
  <si>
    <t>Track prompts (individually and grouped) so you can analyse what works.</t>
  </si>
  <si>
    <t>How it's organised</t>
  </si>
  <si>
    <t>Sheet: Groups</t>
  </si>
  <si>
    <t>One row per group. Declare the overall goal of the group. Status and total tokens are computed automatically from the Prompts sheet.</t>
  </si>
  <si>
    <t>Sheet: Prompts</t>
  </si>
  <si>
    <t>One row per prompt. Each prompt belongs to a Group ID, has its own goal, status, and tokens used.</t>
  </si>
  <si>
    <t>Sheet: Analysis</t>
  </si>
  <si>
    <t>Auto-computed summary: counts by status, tokens by group, average tokens, success rate.</t>
  </si>
  <si>
    <t>Workflow</t>
  </si>
  <si>
    <t>1.</t>
  </si>
  <si>
    <t>Add a group in the Groups sheet (Group ID + Group Goal).</t>
  </si>
  <si>
    <t>2.</t>
  </si>
  <si>
    <t>Add prompts in the Prompts sheet, referencing the Group ID.</t>
  </si>
  <si>
    <t>3.</t>
  </si>
  <si>
    <t>Update Status and Tokens Used as you test each prompt.</t>
  </si>
  <si>
    <t>4.</t>
  </si>
  <si>
    <t>Open the Analysis sheet to see roll-ups.</t>
  </si>
  <si>
    <t>Status values</t>
  </si>
  <si>
    <t>Draft, Testing, Success, Failed, Needs Review</t>
  </si>
  <si>
    <t>Tip</t>
  </si>
  <si>
    <t>Group ID and Status fields have dropdowns to keep data clean.</t>
  </si>
  <si>
    <t>Prompt Groups</t>
  </si>
  <si>
    <t>Group ID</t>
  </si>
  <si>
    <t>Group Name</t>
  </si>
  <si>
    <t>Group Goal</t>
  </si>
  <si>
    <t>Prompt Count</t>
  </si>
  <si>
    <t>Total Tokens</t>
  </si>
  <si>
    <t>Avg Tokens / Prompt</t>
  </si>
  <si>
    <t>Group Status</t>
  </si>
  <si>
    <t>G001</t>
  </si>
  <si>
    <t>G002</t>
  </si>
  <si>
    <t>Prompts</t>
  </si>
  <si>
    <t>Prompt ID</t>
  </si>
  <si>
    <t>Prompt Goal</t>
  </si>
  <si>
    <t>Prompt Text</t>
  </si>
  <si>
    <t>Status</t>
  </si>
  <si>
    <t>Tokens Used</t>
  </si>
  <si>
    <t>Model</t>
  </si>
  <si>
    <t>Notes / Output Quality</t>
  </si>
  <si>
    <t>P001</t>
  </si>
  <si>
    <t>Success</t>
  </si>
  <si>
    <t>P002</t>
  </si>
  <si>
    <t>Testing</t>
  </si>
  <si>
    <t>P003</t>
  </si>
  <si>
    <t>Draft</t>
  </si>
  <si>
    <t>P004</t>
  </si>
  <si>
    <t>P005</t>
  </si>
  <si>
    <t>Needs Review</t>
  </si>
  <si>
    <t>P006</t>
  </si>
  <si>
    <t>P007</t>
  </si>
  <si>
    <t>Failed</t>
  </si>
  <si>
    <t>Analysis</t>
  </si>
  <si>
    <t>Top-line metrics</t>
  </si>
  <si>
    <t>Total prompts</t>
  </si>
  <si>
    <t>Total groups</t>
  </si>
  <si>
    <t>Total tokens used</t>
  </si>
  <si>
    <t>Average tokens / prompt</t>
  </si>
  <si>
    <t>Max tokens (single prompt)</t>
  </si>
  <si>
    <t>Min tokens (&gt;0)</t>
  </si>
  <si>
    <t>Success rate</t>
  </si>
  <si>
    <t>Failure rate</t>
  </si>
  <si>
    <t>Status breakdown</t>
  </si>
  <si>
    <t>Count</t>
  </si>
  <si>
    <t>Tokens</t>
  </si>
  <si>
    <t>Total</t>
  </si>
  <si>
    <t>Per-group breakdown</t>
  </si>
  <si>
    <t>Success %</t>
  </si>
  <si>
    <t xml:space="preserve">i will go with option1 but this have a limitation in my case because i have another pather that need the same style but the card should be smaller how to work with that ?
so the first pather need this component to be reasponsive based on screen but the second it can have many column and for each of this column it can contain many card so it was not based on the screen size anymore </t>
  </si>
  <si>
    <t>Make the aoTicketItem recursive  based on size and on pather</t>
  </si>
  <si>
    <t>failed</t>
  </si>
  <si>
    <t>lot</t>
  </si>
  <si>
    <t>Claude Code</t>
  </si>
  <si>
    <t>very bad</t>
  </si>
  <si>
    <t>For manageBackLog : 
   The sprint should be change based on the screen  size 
	- for small screen sprint should be a container for aiTicketItem cards.
	- for non small screen sprint should be a container for aiTicketItem rows.
For manageTicketTracking : 
   no sprint exist  but there was a separate lwc aoticketBoardColumn 
   	- the aoTicketItem card should be a small card for all screens 
	- the aoticketBoardColumn shape should be placed recursivly based on screen size but the principale  size is fixed 
- create a variant in the aoTicketItem to know if we need for large screen or smallScreen</t>
  </si>
  <si>
    <t>bad</t>
  </si>
  <si>
    <t>We have 2 caller for the aoTicketItem: 
   - ManageBacklog.js 
   - ManageTicketTracking.js 
the aoTicketItem should appear as a card that the element should be show in a good way not just left and right we can have a different level in flex direction column 
 for the manageTicketTracking but it should still as it is for the manageBacklog
for that what i need from you is to set a variant in the aoTicketItem so the pather set how the view should be displayed.
for the card it should follow the same typography and  styling of the previous style . 
in the aoTicketItem check for the variant to show as card or as row.</t>
  </si>
  <si>
    <t>very good</t>
  </si>
  <si>
    <t xml:space="preserve">  card take full pather caller size of aoTicketItem.
  all element of card should take the size in % so they appear in the  same position always whenever the pather size is.
  - in case of large screen : 
	* in ManageTicketTracking same as previous no change 
	* in Manage Backlog same as previous no change
  - in case of small screen : 
	* in ManageTicketTracking same as previous no change
	* in Manage Backlog the variant is card now </t>
  </si>
  <si>
    <t>normal</t>
  </si>
  <si>
    <t xml:space="preserve">very good </t>
  </si>
  <si>
    <t>For @manageTicketTracking, do not pass the full subtask object. Pass only:
Name,Ticket Type,Summary,Story Points,Assignee
The child component should determine which specific fields to display based on the selected variant.
For @manageBacklog, keep the full data structure as-is since it requires all ticket fields.
Card Variants:
We should now use distinct card variants based on context:
full-ticket-card → Used for @manageBacklog (displays all fields)
row → Used for row-style compact layouts
tracking-card → Used for @manageTicketTracking (displays only the limited tracking fields)
This separates backlog and tracking concerns cleanly while allowing the child component to control field visibility by variant rather than by inconsistent parent payload structures.
@force-app/main/default/lwc/manageBacklog/  @force-app/main/default/lwc/manageTicketTracking/  @force-app/main/default/lwc/aoTicketItem/</t>
  </si>
  <si>
    <t xml:space="preserve">in @force-app/main/default/classes/domain/WorkflowService.cls  create foundEndStatus 
input : workflowTransition [] 
output : EndStatusId single field 
Logic : found the End status which is the status that is the fromStatus for a workflowTransition but it does not found a fromStatus that match it for a another workflow Transition. </t>
  </si>
  <si>
    <t>in @force-app/main/default/classes/controller/manageTicketTracking/ManageTicketTrackingController.cls  for loadManageTicketTrackingPage method  
after the gete sprintTickets :
                // create a set of key that contain just currentStatusId by looping throw all sprintTickets : so each currentStatus can be exist only one time 
                // get all ticket type in a Set 
                // get the workflow id for each ticket type and put also in a Set 
                // get the final status for each workflow id and put in a MapSet key : workflowId &gt; finalStatusId : to know the final status we stop when we found a toStatus that does not have 
// Then check for each sprintTicket the ticket type and found the related workflow Id and check if the currentStatus is the end status for this workflow if it was add to the returned map the for the sprintTickets if it was in the end status .</t>
  </si>
  <si>
    <t>P008</t>
  </si>
  <si>
    <t>very low</t>
  </si>
  <si>
    <t xml:space="preserve">return the Ticket that is in the end status for the associated workflow of it is ticket type.
UPDATE THE FRONT END BASED ON THAT </t>
  </si>
  <si>
    <t>Finally update the ManageTicketTracking.js to mention that ticket is on the final status use isEndStatus ENCAPSULATE IN SPRINTTICKETS STATE</t>
  </si>
  <si>
    <t xml:space="preserve">in @force-app/main/default/lwc/manageTicketTracking/manageTicketTracking.js , for _loadData() method  Todo : implement the todo in this line :   // compare the id of the tickettype in sprintTickets with ticketTypes Then add  the sprintTickets ticketTypeName and the same for association create for each of them a method in the util @force-app/main/default/lwc/aoTicketItem/ticketUtils.js  </t>
  </si>
  <si>
    <t>P009</t>
  </si>
  <si>
    <t>excellent</t>
  </si>
  <si>
    <t>sprint1-task9
sprint1-task10</t>
  </si>
  <si>
    <t>P010</t>
  </si>
  <si>
    <t>Create a card list with a + button in the header to add a new row inline, and an expand/collapse button on header to reveal more rows. Minimal flat design, compact rows, no specific app style.</t>
  </si>
  <si>
    <t>P011</t>
  </si>
  <si>
    <t>create Ticket Link backEnd + FrontEnd</t>
  </si>
  <si>
    <t>see the file P011.txt</t>
  </si>
  <si>
    <t>see the file P012.txt</t>
  </si>
  <si>
    <t>P012</t>
  </si>
  <si>
    <t>P013</t>
  </si>
  <si>
    <t xml:space="preserve">
- A "+ Create linked work item" text button to create a brand new linked item.
						00.02.05.02 : 
							- when the link button is clicked dispatch event should be send from the child to the pather , 
							- pather(ManageTicketTracking.js is the pather) it should handle the  event and send a apex request to create a new ticket Link 
							sequence : 
							 - controller will receive the request 
							 - controller use DomainCorrectness to check intgrity 
							 - controller will call the ticketService to save the new Ticket Link
							- Once the response is done in .then update the list  of the ticketLink : linkedToItems  state in the pather that we should already passed to the ticketLinkTo component 
										</t>
  </si>
  <si>
    <t xml:space="preserve">00.02.05.02 in manageTicketTracking requirement file : </t>
  </si>
  <si>
    <t>@force-app/main/default/classes/domain/DomainCompleteValidator.cls  add this new rules add DomainCompleteValidator check that we cannot do a transition from isEnd status 
add DomainCompleteValidator check that we cannot do a transition to todo and in  @force-app/main/default/classes/domain/WorkflowService.cls  in createWorkflowTransition calkl this new rules</t>
  </si>
  <si>
    <t>P014</t>
  </si>
  <si>
    <t>P015</t>
  </si>
  <si>
    <t>`@force-app/main/default/classes/controller/manageTicketTracking/  
_loadData method 
 loadManageTicketTrackingPage call 
 // Todo this should be calculated 
                // Todo check the response.statuses that have isEnd true when the ticket hit this status so it was in the end status 
based on the return  Map&lt;String, Object&gt; data = new Map&lt;String, Object&gt;{
                'status'              =&gt; statuses,
                'workflows'           =&gt; workflows,
                'sprint_tickets'      =&gt; sprintTickets,
                'members'             =&gt; members,
                'ticketTypes'         =&gt; ticketTypes,
                'sprint'              =&gt; sprint
            };
where the status have the isEnd and is Start</t>
  </si>
  <si>
    <t>@force-app/main/default/classes/controller/manageTicketTracking/  
_loadData method 
 loadManageTicketTrackingPage call 
 // Todo this should be calculated 
                // Todo check the response.statuses that have isEnd true when the ticket hit this status so it was in the end status 
based on the return  Map&lt;String, Object&gt; data = new Map&lt;String, Object&gt;{
                'status'              =&gt; statuses,
                'workflows'           =&gt; workflows,
                'sprint_tickets'      =&gt; sprintTickets,
                'members'             =&gt; members,
                'ticketTypes'         =&gt; ticketTypes,
                'sprint'              =&gt; sprint
            };
where the status have the isEnd and is Start</t>
  </si>
  <si>
    <t>P016</t>
  </si>
  <si>
    <t>`@force-app/main/default/objects/Sprint__c/ Please add totalStoryPoint and totalEndedStoryPoint</t>
  </si>
  <si>
    <t>P017</t>
  </si>
  <si>
    <t>low</t>
  </si>
  <si>
    <t>task 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</si>
</sst>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
  </numFmts>
  <fonts count="9" x14ac:knownFonts="1">
    <font>
      <sz val="11"/>
      <color theme="1"/>
      <name val="Calibri"/>
      <family val="2"/>
      <charset val="1"/>
    </font>
    <font>
      <b/>
      <sz val="16"/>
      <color rgb="FF1F4E78"/>
      <name val="Arial"/>
      <charset val="1"/>
    </font>
    <font>
      <b/>
      <sz val="11"/>
      <name val="Arial"/>
      <charset val="1"/>
    </font>
    <font>
      <sz val="11"/>
      <name val="Arial"/>
      <charset val="1"/>
    </font>
    <font>
      <b/>
      <sz val="11"/>
      <color rgb="FFFFFFFF"/>
      <name val="Arial"/>
      <charset val="1"/>
    </font>
    <font>
      <sz val="10"/>
      <name val="Arial"/>
      <family val="2"/>
    </font>
    <font>
      <b/>
      <sz val="11"/>
      <color rgb="FF1F4E78"/>
      <name val="Arial"/>
      <charset val="1"/>
    </font>
    <font>
      <sz val="11"/>
      <name val="Arial"/>
      <family val="2"/>
    </font>
    <font>
      <sz val="11"/>
      <color rgb="FF85B6FF"/>
      <name val="Segoe UI"/>
      <family val="2"/>
    </font>
  </fonts>
  <fills count="5">
    <fill>
      <patternFill patternType="none"/>
    </fill>
    <fill>
      <patternFill patternType="gray125"/>
    </fill>
    <fill>
      <patternFill patternType="solid">
        <fgColor rgb="FF1F4E78"/>
        <bgColor rgb="FF003366"/>
      </patternFill>
    </fill>
    <fill>
      <patternFill patternType="solid">
        <fgColor rgb="FFD9E1F2"/>
        <bgColor rgb="FFF2F2F2"/>
      </patternFill>
    </fill>
    <fill>
      <patternFill patternType="solid">
        <fgColor rgb="FFF2F2F2"/>
        <bgColor rgb="FFFFFFFF"/>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9">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4" fillId="2" borderId="1" xfId="0" applyFont="1" applyFill="1" applyBorder="1" applyAlignment="1">
      <alignment horizontal="center" vertical="center" wrapText="1"/>
    </xf>
    <xf numFmtId="0" fontId="3" fillId="0" borderId="1" xfId="0" applyFont="1" applyBorder="1" applyAlignment="1">
      <alignment horizontal="left" vertical="top" wrapText="1"/>
    </xf>
    <xf numFmtId="164" fontId="3" fillId="0" borderId="1" xfId="0" applyNumberFormat="1" applyFont="1" applyBorder="1" applyAlignment="1">
      <alignment horizontal="center" vertical="top" wrapText="1"/>
    </xf>
    <xf numFmtId="165" fontId="3" fillId="0" borderId="1" xfId="0" applyNumberFormat="1" applyFont="1" applyBorder="1" applyAlignment="1">
      <alignment horizontal="center" vertical="top" wrapText="1"/>
    </xf>
    <xf numFmtId="0" fontId="3" fillId="0" borderId="1" xfId="0" applyFont="1" applyBorder="1" applyAlignment="1">
      <alignment horizontal="center" vertical="top" wrapText="1"/>
    </xf>
    <xf numFmtId="164" fontId="3" fillId="0" borderId="1" xfId="0" applyNumberFormat="1" applyFont="1" applyBorder="1" applyAlignment="1">
      <alignment horizontal="left" vertical="top" wrapText="1"/>
    </xf>
    <xf numFmtId="165" fontId="3" fillId="0" borderId="1" xfId="0" applyNumberFormat="1" applyFont="1" applyBorder="1" applyAlignment="1">
      <alignment horizontal="left" vertical="top" wrapText="1"/>
    </xf>
    <xf numFmtId="164" fontId="0" fillId="0" borderId="0" xfId="0" applyNumberFormat="1"/>
    <xf numFmtId="0" fontId="2" fillId="0" borderId="1" xfId="0" applyFont="1" applyBorder="1" applyAlignment="1">
      <alignment horizontal="left" vertical="center"/>
    </xf>
    <xf numFmtId="164" fontId="3" fillId="0" borderId="1" xfId="0" applyNumberFormat="1" applyFont="1" applyBorder="1" applyAlignment="1">
      <alignment horizontal="right" vertical="center"/>
    </xf>
    <xf numFmtId="166" fontId="3" fillId="0" borderId="1" xfId="0" applyNumberFormat="1" applyFont="1" applyBorder="1" applyAlignment="1">
      <alignment horizontal="right" vertical="center"/>
    </xf>
    <xf numFmtId="164" fontId="3" fillId="0" borderId="1" xfId="0" applyNumberFormat="1" applyFont="1" applyBorder="1" applyAlignment="1">
      <alignment horizontal="right" vertical="top" wrapText="1"/>
    </xf>
    <xf numFmtId="0" fontId="2" fillId="4" borderId="1" xfId="0" applyFont="1" applyFill="1" applyBorder="1" applyAlignment="1">
      <alignment horizontal="left" vertical="top" wrapText="1"/>
    </xf>
    <xf numFmtId="164" fontId="2" fillId="4" borderId="1" xfId="0" applyNumberFormat="1" applyFont="1" applyFill="1" applyBorder="1" applyAlignment="1">
      <alignment horizontal="right" vertical="top" wrapText="1"/>
    </xf>
    <xf numFmtId="166" fontId="3" fillId="0" borderId="1" xfId="0" applyNumberFormat="1" applyFont="1" applyBorder="1" applyAlignment="1">
      <alignment horizontal="right" vertical="top" wrapText="1"/>
    </xf>
    <xf numFmtId="0" fontId="7" fillId="0" borderId="1" xfId="0" applyFont="1" applyBorder="1" applyAlignment="1">
      <alignment horizontal="center" vertical="top" wrapText="1"/>
    </xf>
    <xf numFmtId="0" fontId="7" fillId="0" borderId="1" xfId="0" applyFont="1" applyBorder="1" applyAlignment="1">
      <alignment horizontal="left" vertical="top" wrapText="1"/>
    </xf>
    <xf numFmtId="164" fontId="7" fillId="0" borderId="1" xfId="0" applyNumberFormat="1" applyFont="1" applyBorder="1" applyAlignment="1">
      <alignment horizontal="center" vertical="top" wrapText="1"/>
    </xf>
    <xf numFmtId="0" fontId="7" fillId="0" borderId="2" xfId="0" applyFont="1" applyBorder="1" applyAlignment="1">
      <alignment horizontal="left" vertical="top" wrapText="1"/>
    </xf>
    <xf numFmtId="0" fontId="8" fillId="0" borderId="0" xfId="0" applyFont="1"/>
    <xf numFmtId="0" fontId="3" fillId="0" borderId="1" xfId="0" quotePrefix="1" applyFont="1" applyBorder="1" applyAlignment="1">
      <alignment horizontal="left" vertical="top" wrapText="1"/>
    </xf>
    <xf numFmtId="0" fontId="1" fillId="0" borderId="0" xfId="0" applyFont="1"/>
    <xf numFmtId="0" fontId="6" fillId="3" borderId="0" xfId="0" applyFont="1" applyFill="1" applyAlignment="1">
      <alignment horizontal="left" vertical="center"/>
    </xf>
    <xf numFmtId="0" fontId="6" fillId="3" borderId="0" xfId="0" applyFont="1" applyFill="1"/>
    <xf numFmtId="0" fontId="7" fillId="0" borderId="1" xfId="0" quotePrefix="1" applyFont="1" applyBorder="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19"/>
  <sheetViews>
    <sheetView showGridLines="0" zoomScaleNormal="100" workbookViewId="0">
      <selection activeCell="C15" sqref="C15"/>
    </sheetView>
  </sheetViews>
  <sheetFormatPr defaultColWidth="8.6640625" defaultRowHeight="14.4" x14ac:dyDescent="0.3"/>
  <cols>
    <col min="1" max="1" width="2" customWidth="1"/>
    <col min="2" max="2" width="22" customWidth="1"/>
    <col min="3" max="3" width="90" customWidth="1"/>
  </cols>
  <sheetData>
    <row r="2" spans="2:3" ht="21" x14ac:dyDescent="0.4">
      <c r="B2" s="1" t="s">
        <v>0</v>
      </c>
    </row>
    <row r="3" spans="2:3" x14ac:dyDescent="0.3">
      <c r="B3" s="2"/>
      <c r="C3" s="3"/>
    </row>
    <row r="4" spans="2:3" x14ac:dyDescent="0.3">
      <c r="B4" s="2" t="s">
        <v>1</v>
      </c>
      <c r="C4" s="3" t="s">
        <v>2</v>
      </c>
    </row>
    <row r="5" spans="2:3" x14ac:dyDescent="0.3">
      <c r="B5" s="2"/>
      <c r="C5" s="3"/>
    </row>
    <row r="6" spans="2:3" x14ac:dyDescent="0.3">
      <c r="B6" s="2" t="s">
        <v>3</v>
      </c>
      <c r="C6" s="3"/>
    </row>
    <row r="7" spans="2:3" ht="27.6" x14ac:dyDescent="0.3">
      <c r="B7" s="2" t="s">
        <v>4</v>
      </c>
      <c r="C7" s="3" t="s">
        <v>5</v>
      </c>
    </row>
    <row r="8" spans="2:3" ht="27.6" x14ac:dyDescent="0.3">
      <c r="B8" s="2" t="s">
        <v>6</v>
      </c>
      <c r="C8" s="3" t="s">
        <v>7</v>
      </c>
    </row>
    <row r="9" spans="2:3" x14ac:dyDescent="0.3">
      <c r="B9" s="2" t="s">
        <v>8</v>
      </c>
      <c r="C9" s="3" t="s">
        <v>9</v>
      </c>
    </row>
    <row r="10" spans="2:3" x14ac:dyDescent="0.3">
      <c r="B10" s="2"/>
      <c r="C10" s="3"/>
    </row>
    <row r="11" spans="2:3" x14ac:dyDescent="0.3">
      <c r="B11" s="2" t="s">
        <v>10</v>
      </c>
      <c r="C11" s="3"/>
    </row>
    <row r="12" spans="2:3" x14ac:dyDescent="0.3">
      <c r="B12" s="2" t="s">
        <v>11</v>
      </c>
      <c r="C12" s="3" t="s">
        <v>12</v>
      </c>
    </row>
    <row r="13" spans="2:3" x14ac:dyDescent="0.3">
      <c r="B13" s="2" t="s">
        <v>13</v>
      </c>
      <c r="C13" s="3" t="s">
        <v>14</v>
      </c>
    </row>
    <row r="14" spans="2:3" x14ac:dyDescent="0.3">
      <c r="B14" s="2" t="s">
        <v>15</v>
      </c>
      <c r="C14" s="3" t="s">
        <v>16</v>
      </c>
    </row>
    <row r="15" spans="2:3" x14ac:dyDescent="0.3">
      <c r="B15" s="2" t="s">
        <v>17</v>
      </c>
      <c r="C15" s="3" t="s">
        <v>18</v>
      </c>
    </row>
    <row r="16" spans="2:3" x14ac:dyDescent="0.3">
      <c r="B16" s="2"/>
      <c r="C16" s="3"/>
    </row>
    <row r="17" spans="2:3" x14ac:dyDescent="0.3">
      <c r="B17" s="2" t="s">
        <v>19</v>
      </c>
      <c r="C17" s="3" t="s">
        <v>20</v>
      </c>
    </row>
    <row r="18" spans="2:3" x14ac:dyDescent="0.3">
      <c r="B18" s="2"/>
      <c r="C18" s="3"/>
    </row>
    <row r="19" spans="2:3" x14ac:dyDescent="0.3">
      <c r="B19" s="2" t="s">
        <v>21</v>
      </c>
      <c r="C19" s="3" t="s">
        <v>22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3"/>
  <sheetViews>
    <sheetView showGridLines="0" zoomScaleNormal="100" workbookViewId="0">
      <pane ySplit="3" topLeftCell="A4" activePane="bottomLeft" state="frozen"/>
      <selection pane="bottomLeft" activeCell="C6" sqref="C6"/>
    </sheetView>
  </sheetViews>
  <sheetFormatPr defaultColWidth="8.6640625" defaultRowHeight="14.4" x14ac:dyDescent="0.3"/>
  <cols>
    <col min="1" max="1" width="12" customWidth="1"/>
    <col min="2" max="2" width="28" customWidth="1"/>
    <col min="3" max="3" width="70" customWidth="1"/>
    <col min="4" max="5" width="14" customWidth="1"/>
    <col min="6" max="6" width="18" customWidth="1"/>
    <col min="7" max="7" width="16" customWidth="1"/>
  </cols>
  <sheetData>
    <row r="1" spans="1:7" ht="21" x14ac:dyDescent="0.4">
      <c r="A1" s="25" t="s">
        <v>23</v>
      </c>
      <c r="B1" s="25"/>
      <c r="C1" s="25"/>
      <c r="D1" s="25"/>
      <c r="E1" s="25"/>
      <c r="F1" s="25"/>
      <c r="G1" s="25"/>
    </row>
    <row r="3" spans="1:7" ht="30" customHeight="1" x14ac:dyDescent="0.3">
      <c r="A3" s="4" t="s">
        <v>24</v>
      </c>
      <c r="B3" s="4" t="s">
        <v>25</v>
      </c>
      <c r="C3" s="4" t="s">
        <v>26</v>
      </c>
      <c r="D3" s="4" t="s">
        <v>27</v>
      </c>
      <c r="E3" s="4" t="s">
        <v>28</v>
      </c>
      <c r="F3" s="4" t="s">
        <v>29</v>
      </c>
      <c r="G3" s="4" t="s">
        <v>30</v>
      </c>
    </row>
    <row r="4" spans="1:7" ht="45" customHeight="1" x14ac:dyDescent="0.3">
      <c r="A4" s="5" t="s">
        <v>31</v>
      </c>
      <c r="B4" s="5"/>
      <c r="C4" s="5" t="s">
        <v>70</v>
      </c>
      <c r="D4" s="6">
        <f>COUNTIF(Prompts!$B$4:$B$999,A4)</f>
        <v>3</v>
      </c>
      <c r="E4" s="6">
        <f>SUMIF(Prompts!$B$4:$B$999,A4,Prompts!$F$4:$F$999)</f>
        <v>0</v>
      </c>
      <c r="F4" s="7">
        <f>IFERROR(E4/D4,0)</f>
        <v>0</v>
      </c>
      <c r="G4" s="8" t="str">
        <f>IF(D4=0,"Empty",IF(COUNTIFS(Prompts!$B$4:$B$999,A4,Prompts!$E$4:$E$999,"Draft")+COUNTIFS(Prompts!$B$4:$B$999,A4,Prompts!$E$4:$E$999,"Testing")+COUNTIFS(Prompts!$B$4:$B$999,A4,Prompts!$E$4:$E$999,"Needs Review")=0,"Complete","In Progress"))</f>
        <v>Complete</v>
      </c>
    </row>
    <row r="5" spans="1:7" ht="45" customHeight="1" x14ac:dyDescent="0.3">
      <c r="A5" s="20" t="s">
        <v>32</v>
      </c>
      <c r="B5" s="5"/>
      <c r="C5" s="20" t="s">
        <v>87</v>
      </c>
      <c r="D5" s="6"/>
      <c r="E5" s="6"/>
      <c r="F5" s="7"/>
      <c r="G5" s="8"/>
    </row>
    <row r="6" spans="1:7" ht="45" customHeight="1" x14ac:dyDescent="0.3">
      <c r="A6" s="5"/>
      <c r="B6" s="5"/>
      <c r="C6" s="5"/>
      <c r="D6" s="6"/>
      <c r="E6" s="6"/>
      <c r="F6" s="7"/>
      <c r="G6" s="8"/>
    </row>
    <row r="7" spans="1:7" ht="45" customHeight="1" x14ac:dyDescent="0.3">
      <c r="A7" s="5"/>
      <c r="B7" s="5"/>
      <c r="C7" s="5"/>
      <c r="D7" s="9" t="str">
        <f>IF(A7="","",COUNTIF(Prompts!$B$4:$B$999,A7))</f>
        <v/>
      </c>
      <c r="E7" s="9" t="str">
        <f>IF(A7="","",SUMIF(Prompts!$B$4:$B$999,A7,Prompts!$F$4:$F$999))</f>
        <v/>
      </c>
      <c r="F7" s="10" t="str">
        <f t="shared" ref="F7:F13" si="0">IF(OR(A7="",D7=0),"",E7/D7)</f>
        <v/>
      </c>
      <c r="G7" s="5" t="str">
        <f>IF(A7="","",IF(D7=0,"Empty",IF(COUNTIFS(Prompts!$B$4:$B$999,A7,Prompts!$E$4:$E$999,"Draft")+COUNTIFS(Prompts!$B$4:$B$999,A7,Prompts!$E$4:$E$999,"Testing")+COUNTIFS(Prompts!$B$4:$B$999,A7,Prompts!$E$4:$E$999,"Needs Review")=0,"Complete","In Progress")))</f>
        <v/>
      </c>
    </row>
    <row r="8" spans="1:7" ht="45" customHeight="1" x14ac:dyDescent="0.3">
      <c r="A8" s="5"/>
      <c r="B8" s="5"/>
      <c r="C8" s="5"/>
      <c r="D8" s="9" t="str">
        <f>IF(A8="","",COUNTIF(Prompts!$B$4:$B$999,A8))</f>
        <v/>
      </c>
      <c r="E8" s="9" t="str">
        <f>IF(A8="","",SUMIF(Prompts!$B$4:$B$999,A8,Prompts!$F$4:$F$999))</f>
        <v/>
      </c>
      <c r="F8" s="10" t="str">
        <f t="shared" si="0"/>
        <v/>
      </c>
      <c r="G8" s="5" t="str">
        <f>IF(A8="","",IF(D8=0,"Empty",IF(COUNTIFS(Prompts!$B$4:$B$999,A8,Prompts!$E$4:$E$999,"Draft")+COUNTIFS(Prompts!$B$4:$B$999,A8,Prompts!$E$4:$E$999,"Testing")+COUNTIFS(Prompts!$B$4:$B$999,A8,Prompts!$E$4:$E$999,"Needs Review")=0,"Complete","In Progress")))</f>
        <v/>
      </c>
    </row>
    <row r="9" spans="1:7" ht="45" customHeight="1" x14ac:dyDescent="0.3">
      <c r="A9" s="5"/>
      <c r="B9" s="5"/>
      <c r="C9" s="5"/>
      <c r="D9" s="9" t="str">
        <f>IF(A9="","",COUNTIF(Prompts!$B$4:$B$999,A9))</f>
        <v/>
      </c>
      <c r="E9" s="9" t="str">
        <f>IF(A9="","",SUMIF(Prompts!$B$4:$B$999,A9,Prompts!$F$4:$F$999))</f>
        <v/>
      </c>
      <c r="F9" s="10" t="str">
        <f t="shared" si="0"/>
        <v/>
      </c>
      <c r="G9" s="5" t="str">
        <f>IF(A9="","",IF(D9=0,"Empty",IF(COUNTIFS(Prompts!$B$4:$B$999,A9,Prompts!$E$4:$E$999,"Draft")+COUNTIFS(Prompts!$B$4:$B$999,A9,Prompts!$E$4:$E$999,"Testing")+COUNTIFS(Prompts!$B$4:$B$999,A9,Prompts!$E$4:$E$999,"Needs Review")=0,"Complete","In Progress")))</f>
        <v/>
      </c>
    </row>
    <row r="10" spans="1:7" ht="45" customHeight="1" x14ac:dyDescent="0.3">
      <c r="A10" s="5"/>
      <c r="B10" s="5"/>
      <c r="C10" s="5"/>
      <c r="D10" s="9" t="str">
        <f>IF(A10="","",COUNTIF(Prompts!$B$4:$B$999,A10))</f>
        <v/>
      </c>
      <c r="E10" s="9" t="str">
        <f>IF(A10="","",SUMIF(Prompts!$B$4:$B$999,A10,Prompts!$F$4:$F$999))</f>
        <v/>
      </c>
      <c r="F10" s="10" t="str">
        <f t="shared" si="0"/>
        <v/>
      </c>
      <c r="G10" s="5" t="str">
        <f>IF(A10="","",IF(D10=0,"Empty",IF(COUNTIFS(Prompts!$B$4:$B$999,A10,Prompts!$E$4:$E$999,"Draft")+COUNTIFS(Prompts!$B$4:$B$999,A10,Prompts!$E$4:$E$999,"Testing")+COUNTIFS(Prompts!$B$4:$B$999,A10,Prompts!$E$4:$E$999,"Needs Review")=0,"Complete","In Progress")))</f>
        <v/>
      </c>
    </row>
    <row r="11" spans="1:7" ht="45" customHeight="1" x14ac:dyDescent="0.3">
      <c r="A11" s="5"/>
      <c r="B11" s="5"/>
      <c r="C11" s="5"/>
      <c r="D11" s="9" t="str">
        <f>IF(A11="","",COUNTIF(Prompts!$B$4:$B$999,A11))</f>
        <v/>
      </c>
      <c r="E11" s="9" t="str">
        <f>IF(A11="","",SUMIF(Prompts!$B$4:$B$999,A11,Prompts!$F$4:$F$999))</f>
        <v/>
      </c>
      <c r="F11" s="10" t="str">
        <f t="shared" si="0"/>
        <v/>
      </c>
      <c r="G11" s="5" t="str">
        <f>IF(A11="","",IF(D11=0,"Empty",IF(COUNTIFS(Prompts!$B$4:$B$999,A11,Prompts!$E$4:$E$999,"Draft")+COUNTIFS(Prompts!$B$4:$B$999,A11,Prompts!$E$4:$E$999,"Testing")+COUNTIFS(Prompts!$B$4:$B$999,A11,Prompts!$E$4:$E$999,"Needs Review")=0,"Complete","In Progress")))</f>
        <v/>
      </c>
    </row>
    <row r="12" spans="1:7" ht="45" customHeight="1" x14ac:dyDescent="0.3">
      <c r="A12" s="5"/>
      <c r="B12" s="5"/>
      <c r="C12" s="5"/>
      <c r="D12" s="9" t="str">
        <f>IF(A12="","",COUNTIF(Prompts!$B$4:$B$999,A12))</f>
        <v/>
      </c>
      <c r="E12" s="9" t="str">
        <f>IF(A12="","",SUMIF(Prompts!$B$4:$B$999,A12,Prompts!$F$4:$F$999))</f>
        <v/>
      </c>
      <c r="F12" s="10" t="str">
        <f t="shared" si="0"/>
        <v/>
      </c>
      <c r="G12" s="5" t="str">
        <f>IF(A12="","",IF(D12=0,"Empty",IF(COUNTIFS(Prompts!$B$4:$B$999,A12,Prompts!$E$4:$E$999,"Draft")+COUNTIFS(Prompts!$B$4:$B$999,A12,Prompts!$E$4:$E$999,"Testing")+COUNTIFS(Prompts!$B$4:$B$999,A12,Prompts!$E$4:$E$999,"Needs Review")=0,"Complete","In Progress")))</f>
        <v/>
      </c>
    </row>
    <row r="13" spans="1:7" ht="45" customHeight="1" x14ac:dyDescent="0.3">
      <c r="A13" s="5"/>
      <c r="B13" s="5"/>
      <c r="C13" s="5"/>
      <c r="D13" s="9" t="str">
        <f>IF(A13="","",COUNTIF(Prompts!$B$4:$B$999,A13))</f>
        <v/>
      </c>
      <c r="E13" s="9" t="str">
        <f>IF(A13="","",SUMIF(Prompts!$B$4:$B$999,A13,Prompts!$F$4:$F$999))</f>
        <v/>
      </c>
      <c r="F13" s="10" t="str">
        <f t="shared" si="0"/>
        <v/>
      </c>
      <c r="G13" s="5" t="str">
        <f>IF(A13="","",IF(D13=0,"Empty",IF(COUNTIFS(Prompts!$B$4:$B$999,A13,Prompts!$E$4:$E$999,"Draft")+COUNTIFS(Prompts!$B$4:$B$999,A13,Prompts!$E$4:$E$999,"Testing")+COUNTIFS(Prompts!$B$4:$B$999,A13,Prompts!$E$4:$E$999,"Needs Review")=0,"Complete","In Progress")))</f>
        <v/>
      </c>
    </row>
  </sheetData>
  <mergeCells count="1">
    <mergeCell ref="A1:G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2"/>
  <sheetViews>
    <sheetView showGridLines="0" tabSelected="1" zoomScale="70" zoomScaleNormal="70" workbookViewId="0">
      <pane ySplit="3" topLeftCell="A19" activePane="bottomLeft" state="frozen"/>
      <selection pane="bottomLeft" activeCell="H21" sqref="H21"/>
    </sheetView>
  </sheetViews>
  <sheetFormatPr defaultColWidth="8.6640625" defaultRowHeight="14.4" x14ac:dyDescent="0.3"/>
  <cols>
    <col min="1" max="2" width="11" customWidth="1"/>
    <col min="3" max="3" width="43.109375" customWidth="1"/>
    <col min="4" max="4" width="60" customWidth="1"/>
    <col min="5" max="5" width="14" customWidth="1"/>
    <col min="6" max="6" width="13" customWidth="1"/>
    <col min="7" max="7" width="18" customWidth="1"/>
    <col min="8" max="8" width="35" customWidth="1"/>
  </cols>
  <sheetData>
    <row r="1" spans="1:8" ht="21" x14ac:dyDescent="0.4">
      <c r="A1" s="25" t="s">
        <v>33</v>
      </c>
      <c r="B1" s="25"/>
      <c r="C1" s="25"/>
      <c r="D1" s="25"/>
      <c r="E1" s="25"/>
      <c r="F1" s="25"/>
      <c r="G1" s="25"/>
      <c r="H1" s="25"/>
    </row>
    <row r="3" spans="1:8" ht="30" customHeight="1" x14ac:dyDescent="0.3">
      <c r="A3" s="4" t="s">
        <v>34</v>
      </c>
      <c r="B3" s="4" t="s">
        <v>24</v>
      </c>
      <c r="C3" s="4" t="s">
        <v>35</v>
      </c>
      <c r="D3" s="4" t="s">
        <v>36</v>
      </c>
      <c r="E3" s="4" t="s">
        <v>37</v>
      </c>
      <c r="F3" s="4" t="s">
        <v>38</v>
      </c>
      <c r="G3" s="4" t="s">
        <v>39</v>
      </c>
      <c r="H3" s="4" t="s">
        <v>40</v>
      </c>
    </row>
    <row r="4" spans="1:8" ht="133.19999999999999" customHeight="1" x14ac:dyDescent="0.3">
      <c r="A4" s="8" t="s">
        <v>41</v>
      </c>
      <c r="B4" s="8"/>
      <c r="C4" s="5" t="s">
        <v>70</v>
      </c>
      <c r="D4" s="5" t="s">
        <v>69</v>
      </c>
      <c r="E4" s="8" t="s">
        <v>71</v>
      </c>
      <c r="F4" s="21" t="s">
        <v>72</v>
      </c>
      <c r="G4" s="8" t="s">
        <v>73</v>
      </c>
      <c r="H4" s="5" t="s">
        <v>74</v>
      </c>
    </row>
    <row r="5" spans="1:8" ht="238.8" customHeight="1" x14ac:dyDescent="0.3">
      <c r="A5" s="8" t="s">
        <v>43</v>
      </c>
      <c r="B5" s="8"/>
      <c r="C5" s="5" t="s">
        <v>70</v>
      </c>
      <c r="D5" s="5" t="s">
        <v>75</v>
      </c>
      <c r="E5" s="8" t="s">
        <v>52</v>
      </c>
      <c r="F5" s="6" t="s">
        <v>72</v>
      </c>
      <c r="G5" s="19" t="s">
        <v>73</v>
      </c>
      <c r="H5" s="5" t="s">
        <v>76</v>
      </c>
    </row>
    <row r="6" spans="1:8" ht="241.8" customHeight="1" x14ac:dyDescent="0.3">
      <c r="A6" s="8" t="s">
        <v>45</v>
      </c>
      <c r="B6" s="8" t="s">
        <v>31</v>
      </c>
      <c r="C6" s="5" t="s">
        <v>70</v>
      </c>
      <c r="D6" s="20" t="s">
        <v>77</v>
      </c>
      <c r="E6" s="8" t="s">
        <v>42</v>
      </c>
      <c r="F6" s="21" t="s">
        <v>72</v>
      </c>
      <c r="G6" s="8" t="s">
        <v>73</v>
      </c>
      <c r="H6" s="20" t="s">
        <v>78</v>
      </c>
    </row>
    <row r="7" spans="1:8" ht="204" customHeight="1" x14ac:dyDescent="0.3">
      <c r="A7" s="19" t="s">
        <v>47</v>
      </c>
      <c r="B7" s="19" t="s">
        <v>31</v>
      </c>
      <c r="C7" s="5" t="s">
        <v>70</v>
      </c>
      <c r="D7" s="20" t="s">
        <v>79</v>
      </c>
      <c r="E7" s="8" t="s">
        <v>42</v>
      </c>
      <c r="F7" s="21" t="s">
        <v>80</v>
      </c>
      <c r="G7" s="19" t="s">
        <v>73</v>
      </c>
      <c r="H7" s="20" t="s">
        <v>81</v>
      </c>
    </row>
    <row r="8" spans="1:8" ht="408.6" customHeight="1" x14ac:dyDescent="0.3">
      <c r="A8" s="19" t="s">
        <v>48</v>
      </c>
      <c r="B8" s="19" t="s">
        <v>31</v>
      </c>
      <c r="C8" s="5" t="s">
        <v>70</v>
      </c>
      <c r="D8" s="20" t="s">
        <v>82</v>
      </c>
      <c r="E8" s="19" t="s">
        <v>42</v>
      </c>
      <c r="F8" s="21" t="s">
        <v>80</v>
      </c>
      <c r="G8" s="19" t="s">
        <v>73</v>
      </c>
      <c r="H8" s="20" t="s">
        <v>78</v>
      </c>
    </row>
    <row r="9" spans="1:8" ht="132" customHeight="1" x14ac:dyDescent="0.3">
      <c r="A9" s="19" t="s">
        <v>50</v>
      </c>
      <c r="B9" s="19" t="s">
        <v>32</v>
      </c>
      <c r="C9" s="5"/>
      <c r="D9" s="20" t="s">
        <v>83</v>
      </c>
      <c r="E9" s="8"/>
      <c r="F9" s="6"/>
      <c r="G9" s="8"/>
      <c r="H9" s="5"/>
    </row>
    <row r="10" spans="1:8" ht="295.8" customHeight="1" x14ac:dyDescent="0.3">
      <c r="A10" s="19" t="s">
        <v>51</v>
      </c>
      <c r="B10" s="8" t="s">
        <v>32</v>
      </c>
      <c r="C10" s="5"/>
      <c r="D10" s="20" t="s">
        <v>84</v>
      </c>
      <c r="E10" s="8" t="s">
        <v>42</v>
      </c>
      <c r="F10" s="6" t="s">
        <v>86</v>
      </c>
      <c r="G10" s="8"/>
      <c r="H10" s="5" t="s">
        <v>78</v>
      </c>
    </row>
    <row r="11" spans="1:8" ht="54.75" customHeight="1" x14ac:dyDescent="0.3">
      <c r="A11" s="19" t="s">
        <v>85</v>
      </c>
      <c r="B11" s="8" t="s">
        <v>32</v>
      </c>
      <c r="C11" s="5"/>
      <c r="D11" s="20" t="s">
        <v>88</v>
      </c>
      <c r="E11" s="8" t="s">
        <v>42</v>
      </c>
      <c r="F11" s="6" t="s">
        <v>86</v>
      </c>
      <c r="G11" s="8"/>
      <c r="H11" s="5" t="s">
        <v>78</v>
      </c>
    </row>
    <row r="12" spans="1:8" ht="150" customHeight="1" x14ac:dyDescent="0.3">
      <c r="A12" s="8" t="s">
        <v>90</v>
      </c>
      <c r="B12" s="8"/>
      <c r="C12" s="5" t="s">
        <v>92</v>
      </c>
      <c r="D12" s="5" t="s">
        <v>89</v>
      </c>
      <c r="E12" s="8" t="s">
        <v>42</v>
      </c>
      <c r="F12" s="6" t="s">
        <v>86</v>
      </c>
      <c r="G12" s="8"/>
      <c r="H12" s="5" t="s">
        <v>91</v>
      </c>
    </row>
    <row r="13" spans="1:8" ht="54.75" customHeight="1" x14ac:dyDescent="0.3">
      <c r="A13" s="8" t="s">
        <v>93</v>
      </c>
      <c r="B13" s="8"/>
      <c r="C13" s="5"/>
      <c r="D13" s="22" t="s">
        <v>94</v>
      </c>
      <c r="E13" s="8" t="s">
        <v>42</v>
      </c>
      <c r="F13" s="6"/>
      <c r="G13" s="8"/>
      <c r="H13" s="20" t="s">
        <v>78</v>
      </c>
    </row>
    <row r="14" spans="1:8" ht="41.4" customHeight="1" x14ac:dyDescent="0.4">
      <c r="A14" s="8" t="s">
        <v>95</v>
      </c>
      <c r="B14" s="8"/>
      <c r="C14" s="5" t="s">
        <v>96</v>
      </c>
      <c r="D14" s="23" t="s">
        <v>97</v>
      </c>
      <c r="E14" s="19" t="s">
        <v>52</v>
      </c>
      <c r="F14" s="6"/>
      <c r="G14" s="8"/>
      <c r="H14" s="20" t="s">
        <v>76</v>
      </c>
    </row>
    <row r="15" spans="1:8" ht="54.75" customHeight="1" x14ac:dyDescent="0.3">
      <c r="A15" s="19" t="s">
        <v>99</v>
      </c>
      <c r="B15" s="8"/>
      <c r="C15" s="5" t="s">
        <v>96</v>
      </c>
      <c r="D15" s="20" t="s">
        <v>98</v>
      </c>
      <c r="E15" s="8" t="s">
        <v>42</v>
      </c>
      <c r="F15" s="6"/>
      <c r="G15" s="8"/>
      <c r="H15" s="20" t="s">
        <v>78</v>
      </c>
    </row>
    <row r="16" spans="1:8" ht="394.2" customHeight="1" x14ac:dyDescent="0.3">
      <c r="A16" s="19" t="s">
        <v>100</v>
      </c>
      <c r="B16" s="8"/>
      <c r="C16" s="20" t="s">
        <v>102</v>
      </c>
      <c r="D16" s="20" t="s">
        <v>101</v>
      </c>
      <c r="E16" s="19" t="s">
        <v>42</v>
      </c>
      <c r="F16" s="21" t="s">
        <v>111</v>
      </c>
      <c r="G16" s="8"/>
      <c r="H16" s="20" t="s">
        <v>78</v>
      </c>
    </row>
    <row r="17" spans="1:8" ht="145.19999999999999" customHeight="1" x14ac:dyDescent="0.3">
      <c r="A17" s="8" t="s">
        <v>104</v>
      </c>
      <c r="B17" s="8"/>
      <c r="C17" s="5"/>
      <c r="D17" s="24" t="s">
        <v>106</v>
      </c>
      <c r="E17" s="19" t="s">
        <v>42</v>
      </c>
      <c r="F17" s="21" t="s">
        <v>86</v>
      </c>
      <c r="G17" s="8"/>
      <c r="H17" s="20" t="s">
        <v>91</v>
      </c>
    </row>
    <row r="18" spans="1:8" ht="153" customHeight="1" x14ac:dyDescent="0.3">
      <c r="A18" s="8" t="s">
        <v>105</v>
      </c>
      <c r="B18" s="8"/>
      <c r="C18" s="5"/>
      <c r="D18" s="24" t="s">
        <v>107</v>
      </c>
      <c r="E18" s="8"/>
      <c r="F18" s="6"/>
      <c r="G18" s="8"/>
      <c r="H18" s="5"/>
    </row>
    <row r="19" spans="1:8" ht="176.4" customHeight="1" x14ac:dyDescent="0.3">
      <c r="A19" s="8" t="s">
        <v>108</v>
      </c>
      <c r="B19" s="8"/>
      <c r="C19" s="5"/>
      <c r="D19" s="24" t="s">
        <v>103</v>
      </c>
      <c r="E19" s="8" t="s">
        <v>42</v>
      </c>
      <c r="F19" s="21" t="s">
        <v>86</v>
      </c>
      <c r="G19" s="8"/>
      <c r="H19" s="20" t="s">
        <v>91</v>
      </c>
    </row>
    <row r="20" spans="1:8" ht="69.599999999999994" customHeight="1" x14ac:dyDescent="0.3">
      <c r="A20" s="19" t="s">
        <v>110</v>
      </c>
      <c r="B20" s="8"/>
      <c r="C20" s="20" t="s">
        <v>112</v>
      </c>
      <c r="D20" s="28" t="s">
        <v>109</v>
      </c>
      <c r="E20" s="8" t="s">
        <v>42</v>
      </c>
      <c r="F20" s="21" t="s">
        <v>86</v>
      </c>
      <c r="G20" s="8"/>
      <c r="H20" s="20" t="s">
        <v>91</v>
      </c>
    </row>
    <row r="21" spans="1:8" ht="129.6" customHeight="1" x14ac:dyDescent="0.3">
      <c r="A21" s="8"/>
      <c r="B21" s="8"/>
      <c r="C21" s="5"/>
      <c r="D21" s="24"/>
      <c r="E21" s="8"/>
      <c r="F21" s="6"/>
      <c r="G21" s="8"/>
      <c r="H21" s="5"/>
    </row>
    <row r="22" spans="1:8" ht="54.75" customHeight="1" x14ac:dyDescent="0.3">
      <c r="A22" s="8"/>
      <c r="B22" s="8"/>
      <c r="C22" s="5"/>
      <c r="D22" s="5"/>
      <c r="E22" s="8"/>
      <c r="F22" s="6"/>
      <c r="G22" s="8"/>
      <c r="H22" s="5"/>
    </row>
    <row r="23" spans="1:8" ht="54.75" customHeight="1" x14ac:dyDescent="0.3">
      <c r="A23" s="8"/>
      <c r="B23" s="8"/>
      <c r="C23" s="5"/>
      <c r="D23" s="5"/>
      <c r="E23" s="8"/>
      <c r="F23" s="6"/>
      <c r="G23" s="8"/>
      <c r="H23" s="5"/>
    </row>
    <row r="24" spans="1:8" ht="54.75" customHeight="1" x14ac:dyDescent="0.3">
      <c r="A24" s="8"/>
      <c r="B24" s="8"/>
      <c r="C24" s="5"/>
      <c r="D24" s="5"/>
      <c r="E24" s="8"/>
      <c r="F24" s="6"/>
      <c r="G24" s="8"/>
      <c r="H24" s="5"/>
    </row>
    <row r="25" spans="1:8" ht="54.75" customHeight="1" x14ac:dyDescent="0.3">
      <c r="F25" s="11"/>
    </row>
    <row r="26" spans="1:8" ht="54.75" customHeight="1" x14ac:dyDescent="0.3">
      <c r="F26" s="11"/>
    </row>
    <row r="27" spans="1:8" ht="54.75" customHeight="1" x14ac:dyDescent="0.3">
      <c r="F27" s="11"/>
    </row>
    <row r="28" spans="1:8" ht="54.75" customHeight="1" x14ac:dyDescent="0.3">
      <c r="F28" s="11"/>
    </row>
    <row r="29" spans="1:8" ht="54.75" customHeight="1" x14ac:dyDescent="0.3">
      <c r="F29" s="11"/>
    </row>
    <row r="30" spans="1:8" ht="54.75" customHeight="1" x14ac:dyDescent="0.3">
      <c r="F30" s="11"/>
    </row>
    <row r="31" spans="1:8" ht="54.75" customHeight="1" x14ac:dyDescent="0.3">
      <c r="F31" s="11"/>
    </row>
    <row r="32" spans="1:8" ht="54.75" customHeight="1" x14ac:dyDescent="0.3">
      <c r="F32" s="11"/>
    </row>
  </sheetData>
  <mergeCells count="1">
    <mergeCell ref="A1:H1"/>
  </mergeCells>
  <dataValidations count="2">
    <dataValidation type="list" allowBlank="1" errorTitle="Invalid status" error="Pick one of: Draft, Testing, Success, Failed, Needs Review" promptTitle="Status" prompt="Choose a status" sqref="E4:E999" xr:uid="{00000000-0002-0000-0200-000000000000}">
      <formula1>"Draft,Testing,Success,Failed,Needs Review"</formula1>
      <formula2>0</formula2>
    </dataValidation>
    <dataValidation type="whole" operator="greaterThanOrEqual" allowBlank="1" errorTitle="Invalid tokens" error="Tokens must be a whole number ≥ 0" sqref="F4:F999" xr:uid="{00000000-0002-0000-0200-000002000000}">
      <formula1>0</formula1>
      <formula2>0</formula2>
    </dataValidation>
  </dataValidations>
  <pageMargins left="0.75" right="0.75" top="1" bottom="1" header="0.511811023622047" footer="0.511811023622047"/>
  <pageSetup paperSize="9" orientation="portrait" horizontalDpi="300" verticalDpi="300" r:id="rId1"/>
  <legacyDrawing r:id="rId2"/>
  <extLst>
    <ext xmlns:x14="http://schemas.microsoft.com/office/spreadsheetml/2009/9/main" uri="{CCE6A557-97BC-4b89-ADB6-D9C93CAAB3DF}">
      <x14:dataValidations xmlns:xm="http://schemas.microsoft.com/office/excel/2006/main" count="1">
        <x14:dataValidation type="list" allowBlank="1" promptTitle="Group ID" prompt="Pick a Group ID from the Groups sheet" xr:uid="{00000000-0002-0000-0200-000001000000}">
          <x14:formula1>
            <xm:f>Groups!$A$4:$A$50</xm:f>
          </x14:formula1>
          <x14:formula2>
            <xm:f>0</xm:f>
          </x14:formula2>
          <xm:sqref>B4:B999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5"/>
  <sheetViews>
    <sheetView showGridLines="0" zoomScaleNormal="100" workbookViewId="0"/>
  </sheetViews>
  <sheetFormatPr defaultColWidth="8.6640625" defaultRowHeight="14.4" x14ac:dyDescent="0.3"/>
  <cols>
    <col min="1" max="1" width="24" customWidth="1"/>
    <col min="2" max="2" width="26" customWidth="1"/>
    <col min="3" max="6" width="14" customWidth="1"/>
  </cols>
  <sheetData>
    <row r="1" spans="1:3" ht="21" x14ac:dyDescent="0.4">
      <c r="A1" s="1" t="s">
        <v>53</v>
      </c>
    </row>
    <row r="3" spans="1:3" x14ac:dyDescent="0.3">
      <c r="A3" s="26" t="s">
        <v>54</v>
      </c>
      <c r="B3" s="26"/>
      <c r="C3" s="26"/>
    </row>
    <row r="4" spans="1:3" x14ac:dyDescent="0.3">
      <c r="A4" s="12" t="s">
        <v>55</v>
      </c>
      <c r="B4" s="13">
        <f>COUNTA(Prompts!A4:A999)</f>
        <v>17</v>
      </c>
    </row>
    <row r="5" spans="1:3" x14ac:dyDescent="0.3">
      <c r="A5" s="12" t="s">
        <v>56</v>
      </c>
      <c r="B5" s="13">
        <f>COUNTA(Groups!A4:A50)</f>
        <v>2</v>
      </c>
    </row>
    <row r="6" spans="1:3" x14ac:dyDescent="0.3">
      <c r="A6" s="12" t="s">
        <v>57</v>
      </c>
      <c r="B6" s="13">
        <f>SUM(Prompts!F4:F999)</f>
        <v>0</v>
      </c>
    </row>
    <row r="7" spans="1:3" x14ac:dyDescent="0.3">
      <c r="A7" s="12" t="s">
        <v>58</v>
      </c>
      <c r="B7" s="13">
        <f>IFERROR(SUM(Prompts!F4:F999)/COUNTIF(Prompts!F4:F999,"&gt;0"),0)</f>
        <v>0</v>
      </c>
    </row>
    <row r="8" spans="1:3" x14ac:dyDescent="0.3">
      <c r="A8" s="12" t="s">
        <v>59</v>
      </c>
      <c r="B8" s="13">
        <f>IFERROR(MAX(Prompts!F4:F999),0)</f>
        <v>0</v>
      </c>
    </row>
    <row r="9" spans="1:3" x14ac:dyDescent="0.3">
      <c r="A9" s="12" t="s">
        <v>60</v>
      </c>
      <c r="B9" s="13">
        <f>IFERROR(SMALL(Prompts!F4:F999,COUNTIF(Prompts!F4:F999,0)+1),0)</f>
        <v>0</v>
      </c>
    </row>
    <row r="10" spans="1:3" x14ac:dyDescent="0.3">
      <c r="A10" s="12" t="s">
        <v>61</v>
      </c>
      <c r="B10" s="14">
        <f>IFERROR(COUNTIF(Prompts!E4:E999,"Success")/COUNTA(Prompts!A4:A999),0)</f>
        <v>0.70588235294117652</v>
      </c>
    </row>
    <row r="11" spans="1:3" x14ac:dyDescent="0.3">
      <c r="A11" s="12" t="s">
        <v>62</v>
      </c>
      <c r="B11" s="14">
        <f>IFERROR(COUNTIF(Prompts!E4:E999,"Failed")/COUNTA(Prompts!A4:A999),0)</f>
        <v>0.17647058823529413</v>
      </c>
    </row>
    <row r="14" spans="1:3" x14ac:dyDescent="0.3">
      <c r="A14" s="27" t="s">
        <v>63</v>
      </c>
      <c r="B14" s="27"/>
      <c r="C14" s="27"/>
    </row>
    <row r="15" spans="1:3" ht="24" customHeight="1" x14ac:dyDescent="0.3">
      <c r="A15" s="4" t="s">
        <v>37</v>
      </c>
      <c r="B15" s="4" t="s">
        <v>64</v>
      </c>
      <c r="C15" s="4" t="s">
        <v>65</v>
      </c>
    </row>
    <row r="16" spans="1:3" x14ac:dyDescent="0.3">
      <c r="A16" s="5" t="s">
        <v>46</v>
      </c>
      <c r="B16" s="15">
        <f>COUNTIF(Prompts!E4:E999,A16)</f>
        <v>0</v>
      </c>
      <c r="C16" s="15">
        <f>SUMIF(Prompts!E4:E999,A16,Prompts!F4:F999)</f>
        <v>0</v>
      </c>
    </row>
    <row r="17" spans="1:6" x14ac:dyDescent="0.3">
      <c r="A17" s="5" t="s">
        <v>44</v>
      </c>
      <c r="B17" s="15">
        <f>COUNTIF(Prompts!E4:E999,A17)</f>
        <v>0</v>
      </c>
      <c r="C17" s="15">
        <f>SUMIF(Prompts!E4:E999,A17,Prompts!F4:F999)</f>
        <v>0</v>
      </c>
    </row>
    <row r="18" spans="1:6" x14ac:dyDescent="0.3">
      <c r="A18" s="5" t="s">
        <v>42</v>
      </c>
      <c r="B18" s="15">
        <f>COUNTIF(Prompts!E4:E999,A18)</f>
        <v>12</v>
      </c>
      <c r="C18" s="15">
        <f>SUMIF(Prompts!E4:E999,A18,Prompts!F4:F999)</f>
        <v>0</v>
      </c>
    </row>
    <row r="19" spans="1:6" x14ac:dyDescent="0.3">
      <c r="A19" s="5" t="s">
        <v>52</v>
      </c>
      <c r="B19" s="15">
        <f>COUNTIF(Prompts!E4:E999,A19)</f>
        <v>3</v>
      </c>
      <c r="C19" s="15">
        <f>SUMIF(Prompts!E4:E999,A19,Prompts!F4:F999)</f>
        <v>0</v>
      </c>
    </row>
    <row r="20" spans="1:6" x14ac:dyDescent="0.3">
      <c r="A20" s="5" t="s">
        <v>49</v>
      </c>
      <c r="B20" s="15">
        <f>COUNTIF(Prompts!E4:E999,A20)</f>
        <v>0</v>
      </c>
      <c r="C20" s="15">
        <f>SUMIF(Prompts!E4:E999,A20,Prompts!F4:F999)</f>
        <v>0</v>
      </c>
    </row>
    <row r="21" spans="1:6" x14ac:dyDescent="0.3">
      <c r="A21" s="16" t="s">
        <v>66</v>
      </c>
      <c r="B21" s="17">
        <f>SUM(B16:B20)</f>
        <v>15</v>
      </c>
      <c r="C21" s="17">
        <f>SUM(C16:C20)</f>
        <v>0</v>
      </c>
    </row>
    <row r="24" spans="1:6" x14ac:dyDescent="0.3">
      <c r="A24" s="27" t="s">
        <v>67</v>
      </c>
      <c r="B24" s="27"/>
      <c r="C24" s="27"/>
      <c r="D24" s="27"/>
      <c r="E24" s="27"/>
      <c r="F24" s="27"/>
    </row>
    <row r="25" spans="1:6" ht="24" customHeight="1" x14ac:dyDescent="0.3">
      <c r="A25" s="4" t="s">
        <v>24</v>
      </c>
      <c r="B25" s="4" t="s">
        <v>25</v>
      </c>
      <c r="C25" s="4" t="s">
        <v>33</v>
      </c>
      <c r="D25" s="4" t="s">
        <v>65</v>
      </c>
      <c r="E25" s="4" t="s">
        <v>42</v>
      </c>
      <c r="F25" s="4" t="s">
        <v>68</v>
      </c>
    </row>
    <row r="26" spans="1:6" x14ac:dyDescent="0.3">
      <c r="A26" s="8" t="str">
        <f>IF(Groups!A4="","",Groups!A4)</f>
        <v>G001</v>
      </c>
      <c r="B26" s="5">
        <f>IF(Groups!A4="","",Groups!B4)</f>
        <v>0</v>
      </c>
      <c r="C26" s="15">
        <f>IF(Groups!A4="","",COUNTIF(Prompts!$B$4:$B$999,Groups!A4))</f>
        <v>3</v>
      </c>
      <c r="D26" s="15">
        <f>IF(Groups!A4="","",SUMIF(Prompts!$B$4:$B$999,Groups!A4,Prompts!$F$4:$F$999))</f>
        <v>0</v>
      </c>
      <c r="E26" s="15">
        <f>IF(Groups!A4="","",COUNTIFS(Prompts!$B$4:$B$999,Groups!A4,Prompts!$E$4:$E$999,"Success"))</f>
        <v>3</v>
      </c>
      <c r="F26" s="18">
        <f t="shared" ref="F26:F35" si="0">IFERROR(E26/C26,"")</f>
        <v>1</v>
      </c>
    </row>
    <row r="27" spans="1:6" x14ac:dyDescent="0.3">
      <c r="A27" s="8" t="str">
        <f>IF(Groups!A5="","",Groups!A5)</f>
        <v>G002</v>
      </c>
      <c r="B27" s="5">
        <f>IF(Groups!A5="","",Groups!B5)</f>
        <v>0</v>
      </c>
      <c r="C27" s="15">
        <f>IF(Groups!A5="","",COUNTIF(Prompts!$B$4:$B$999,Groups!A5))</f>
        <v>3</v>
      </c>
      <c r="D27" s="15">
        <f>IF(Groups!A5="","",SUMIF(Prompts!$B$4:$B$999,Groups!A5,Prompts!$F$4:$F$999))</f>
        <v>0</v>
      </c>
      <c r="E27" s="15">
        <f>IF(Groups!A5="","",COUNTIFS(Prompts!$B$4:$B$999,Groups!A5,Prompts!$E$4:$E$999,"Success"))</f>
        <v>2</v>
      </c>
      <c r="F27" s="18">
        <f t="shared" si="0"/>
        <v>0.66666666666666663</v>
      </c>
    </row>
    <row r="28" spans="1:6" x14ac:dyDescent="0.3">
      <c r="A28" s="8" t="str">
        <f>IF(Groups!A6="","",Groups!A6)</f>
        <v/>
      </c>
      <c r="B28" s="5" t="str">
        <f>IF(Groups!A6="","",Groups!B6)</f>
        <v/>
      </c>
      <c r="C28" s="15" t="str">
        <f>IF(Groups!A6="","",COUNTIF(Prompts!$B$4:$B$999,Groups!A6))</f>
        <v/>
      </c>
      <c r="D28" s="15" t="str">
        <f>IF(Groups!A6="","",SUMIF(Prompts!$B$4:$B$999,Groups!A6,Prompts!$F$4:$F$999))</f>
        <v/>
      </c>
      <c r="E28" s="15" t="str">
        <f>IF(Groups!A6="","",COUNTIFS(Prompts!$B$4:$B$999,Groups!A6,Prompts!$E$4:$E$999,"Success"))</f>
        <v/>
      </c>
      <c r="F28" s="18" t="str">
        <f t="shared" si="0"/>
        <v/>
      </c>
    </row>
    <row r="29" spans="1:6" x14ac:dyDescent="0.3">
      <c r="A29" s="8" t="str">
        <f>IF(Groups!A7="","",Groups!A7)</f>
        <v/>
      </c>
      <c r="B29" s="5" t="str">
        <f>IF(Groups!A7="","",Groups!B7)</f>
        <v/>
      </c>
      <c r="C29" s="15" t="str">
        <f>IF(Groups!A7="","",COUNTIF(Prompts!$B$4:$B$999,Groups!A7))</f>
        <v/>
      </c>
      <c r="D29" s="15" t="str">
        <f>IF(Groups!A7="","",SUMIF(Prompts!$B$4:$B$999,Groups!A7,Prompts!$F$4:$F$999))</f>
        <v/>
      </c>
      <c r="E29" s="15" t="str">
        <f>IF(Groups!A7="","",COUNTIFS(Prompts!$B$4:$B$999,Groups!A7,Prompts!$E$4:$E$999,"Success"))</f>
        <v/>
      </c>
      <c r="F29" s="18" t="str">
        <f t="shared" si="0"/>
        <v/>
      </c>
    </row>
    <row r="30" spans="1:6" x14ac:dyDescent="0.3">
      <c r="A30" s="8" t="str">
        <f>IF(Groups!A8="","",Groups!A8)</f>
        <v/>
      </c>
      <c r="B30" s="5" t="str">
        <f>IF(Groups!A8="","",Groups!B8)</f>
        <v/>
      </c>
      <c r="C30" s="15" t="str">
        <f>IF(Groups!A8="","",COUNTIF(Prompts!$B$4:$B$999,Groups!A8))</f>
        <v/>
      </c>
      <c r="D30" s="15" t="str">
        <f>IF(Groups!A8="","",SUMIF(Prompts!$B$4:$B$999,Groups!A8,Prompts!$F$4:$F$999))</f>
        <v/>
      </c>
      <c r="E30" s="15" t="str">
        <f>IF(Groups!A8="","",COUNTIFS(Prompts!$B$4:$B$999,Groups!A8,Prompts!$E$4:$E$999,"Success"))</f>
        <v/>
      </c>
      <c r="F30" s="18" t="str">
        <f t="shared" si="0"/>
        <v/>
      </c>
    </row>
    <row r="31" spans="1:6" x14ac:dyDescent="0.3">
      <c r="A31" s="8" t="str">
        <f>IF(Groups!A9="","",Groups!A9)</f>
        <v/>
      </c>
      <c r="B31" s="5" t="str">
        <f>IF(Groups!A9="","",Groups!B9)</f>
        <v/>
      </c>
      <c r="C31" s="15" t="str">
        <f>IF(Groups!A9="","",COUNTIF(Prompts!$B$4:$B$999,Groups!A9))</f>
        <v/>
      </c>
      <c r="D31" s="15" t="str">
        <f>IF(Groups!A9="","",SUMIF(Prompts!$B$4:$B$999,Groups!A9,Prompts!$F$4:$F$999))</f>
        <v/>
      </c>
      <c r="E31" s="15" t="str">
        <f>IF(Groups!A9="","",COUNTIFS(Prompts!$B$4:$B$999,Groups!A9,Prompts!$E$4:$E$999,"Success"))</f>
        <v/>
      </c>
      <c r="F31" s="18" t="str">
        <f t="shared" si="0"/>
        <v/>
      </c>
    </row>
    <row r="32" spans="1:6" x14ac:dyDescent="0.3">
      <c r="A32" s="8" t="str">
        <f>IF(Groups!A10="","",Groups!A10)</f>
        <v/>
      </c>
      <c r="B32" s="5" t="str">
        <f>IF(Groups!A10="","",Groups!B10)</f>
        <v/>
      </c>
      <c r="C32" s="15" t="str">
        <f>IF(Groups!A10="","",COUNTIF(Prompts!$B$4:$B$999,Groups!A10))</f>
        <v/>
      </c>
      <c r="D32" s="15" t="str">
        <f>IF(Groups!A10="","",SUMIF(Prompts!$B$4:$B$999,Groups!A10,Prompts!$F$4:$F$999))</f>
        <v/>
      </c>
      <c r="E32" s="15" t="str">
        <f>IF(Groups!A10="","",COUNTIFS(Prompts!$B$4:$B$999,Groups!A10,Prompts!$E$4:$E$999,"Success"))</f>
        <v/>
      </c>
      <c r="F32" s="18" t="str">
        <f t="shared" si="0"/>
        <v/>
      </c>
    </row>
    <row r="33" spans="1:6" x14ac:dyDescent="0.3">
      <c r="A33" s="8" t="str">
        <f>IF(Groups!A11="","",Groups!A11)</f>
        <v/>
      </c>
      <c r="B33" s="5" t="str">
        <f>IF(Groups!A11="","",Groups!B11)</f>
        <v/>
      </c>
      <c r="C33" s="15" t="str">
        <f>IF(Groups!A11="","",COUNTIF(Prompts!$B$4:$B$999,Groups!A11))</f>
        <v/>
      </c>
      <c r="D33" s="15" t="str">
        <f>IF(Groups!A11="","",SUMIF(Prompts!$B$4:$B$999,Groups!A11,Prompts!$F$4:$F$999))</f>
        <v/>
      </c>
      <c r="E33" s="15" t="str">
        <f>IF(Groups!A11="","",COUNTIFS(Prompts!$B$4:$B$999,Groups!A11,Prompts!$E$4:$E$999,"Success"))</f>
        <v/>
      </c>
      <c r="F33" s="18" t="str">
        <f t="shared" si="0"/>
        <v/>
      </c>
    </row>
    <row r="34" spans="1:6" x14ac:dyDescent="0.3">
      <c r="A34" s="8" t="str">
        <f>IF(Groups!A12="","",Groups!A12)</f>
        <v/>
      </c>
      <c r="B34" s="5" t="str">
        <f>IF(Groups!A12="","",Groups!B12)</f>
        <v/>
      </c>
      <c r="C34" s="15" t="str">
        <f>IF(Groups!A12="","",COUNTIF(Prompts!$B$4:$B$999,Groups!A12))</f>
        <v/>
      </c>
      <c r="D34" s="15" t="str">
        <f>IF(Groups!A12="","",SUMIF(Prompts!$B$4:$B$999,Groups!A12,Prompts!$F$4:$F$999))</f>
        <v/>
      </c>
      <c r="E34" s="15" t="str">
        <f>IF(Groups!A12="","",COUNTIFS(Prompts!$B$4:$B$999,Groups!A12,Prompts!$E$4:$E$999,"Success"))</f>
        <v/>
      </c>
      <c r="F34" s="18" t="str">
        <f t="shared" si="0"/>
        <v/>
      </c>
    </row>
    <row r="35" spans="1:6" x14ac:dyDescent="0.3">
      <c r="A35" s="8" t="str">
        <f>IF(Groups!A13="","",Groups!A13)</f>
        <v/>
      </c>
      <c r="B35" s="5" t="str">
        <f>IF(Groups!A13="","",Groups!B13)</f>
        <v/>
      </c>
      <c r="C35" s="15" t="str">
        <f>IF(Groups!A13="","",COUNTIF(Prompts!$B$4:$B$999,Groups!A13))</f>
        <v/>
      </c>
      <c r="D35" s="15" t="str">
        <f>IF(Groups!A13="","",SUMIF(Prompts!$B$4:$B$999,Groups!A13,Prompts!$F$4:$F$999))</f>
        <v/>
      </c>
      <c r="E35" s="15" t="str">
        <f>IF(Groups!A13="","",COUNTIFS(Prompts!$B$4:$B$999,Groups!A13,Prompts!$E$4:$E$999,"Success"))</f>
        <v/>
      </c>
      <c r="F35" s="18" t="str">
        <f t="shared" si="0"/>
        <v/>
      </c>
    </row>
  </sheetData>
  <mergeCells count="3">
    <mergeCell ref="A3:C3"/>
    <mergeCell ref="A14:C14"/>
    <mergeCell ref="A24:F24"/>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Groups</vt:lpstr>
      <vt:lpstr>Prompts</vt:lpstr>
      <vt:lpstr>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maamoun youssef</cp:lastModifiedBy>
  <cp:revision>0</cp:revision>
  <dcterms:created xsi:type="dcterms:W3CDTF">2026-05-04T11:57:59Z</dcterms:created>
  <dcterms:modified xsi:type="dcterms:W3CDTF">2026-05-06T14:47:58Z</dcterms:modified>
  <dc:language>en-US</dc:language>
</cp:coreProperties>
</file>