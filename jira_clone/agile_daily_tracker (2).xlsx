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amoun\Downloads\"/>
    </mc:Choice>
  </mc:AlternateContent>
  <xr:revisionPtr revIDLastSave="0" documentId="13_ncr:1_{C110AD99-75BC-4ADB-93AF-1D6920A0128B}" xr6:coauthVersionLast="47" xr6:coauthVersionMax="47" xr10:uidLastSave="{00000000-0000-0000-0000-000000000000}"/>
  <bookViews>
    <workbookView xWindow="-108" yWindow="-108" windowWidth="23256" windowHeight="12720" tabRatio="500" xr2:uid="{00000000-000D-0000-FFFF-FFFF00000000}"/>
  </bookViews>
  <sheets>
    <sheet name="Daily Log" sheetId="1" r:id="rId1"/>
    <sheet name="Sprint Plan" sheetId="2" r:id="rId2"/>
    <sheet name="Summary" sheetId="3" r:id="rId3"/>
  </sheets>
  <definedNames>
    <definedName name="_xlnm._FilterDatabase" localSheetId="0" hidden="1">'Daily Log'!$A$1:$K$248</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9" i="1" l="1"/>
  <c r="B23" i="3"/>
  <c r="B22" i="3"/>
  <c r="B21" i="3"/>
  <c r="B20" i="3"/>
  <c r="E19" i="3"/>
  <c r="B19" i="3"/>
  <c r="E18" i="3"/>
  <c r="B18" i="3"/>
  <c r="E17" i="3"/>
  <c r="B17" i="3"/>
  <c r="E16" i="3"/>
  <c r="B16" i="3"/>
  <c r="E15" i="3"/>
  <c r="B15" i="3"/>
  <c r="E14" i="3"/>
  <c r="B14" i="3"/>
  <c r="B10" i="3"/>
  <c r="B9" i="3"/>
  <c r="B8" i="3"/>
  <c r="B5" i="3"/>
  <c r="B4" i="3"/>
  <c r="B3" i="3"/>
  <c r="E7" i="2"/>
  <c r="E6" i="2"/>
  <c r="E5" i="2"/>
  <c r="E4" i="2"/>
  <c r="E3" i="2"/>
  <c r="E2" i="2"/>
  <c r="D248" i="1"/>
  <c r="B248" i="1"/>
  <c r="D247" i="1"/>
  <c r="B247" i="1"/>
  <c r="D246" i="1"/>
  <c r="B246" i="1"/>
  <c r="D245" i="1"/>
  <c r="B245" i="1"/>
  <c r="D244" i="1"/>
  <c r="B244" i="1"/>
  <c r="D243" i="1"/>
  <c r="B243" i="1"/>
  <c r="D242" i="1"/>
  <c r="B242" i="1"/>
  <c r="D241" i="1"/>
  <c r="B241" i="1"/>
  <c r="D240" i="1"/>
  <c r="B240" i="1"/>
  <c r="D239" i="1"/>
  <c r="B239" i="1"/>
  <c r="D238" i="1"/>
  <c r="B238" i="1"/>
  <c r="D237" i="1"/>
  <c r="B237" i="1"/>
  <c r="D236" i="1"/>
  <c r="B236" i="1"/>
  <c r="D235" i="1"/>
  <c r="B235" i="1"/>
  <c r="D234" i="1"/>
  <c r="B234" i="1"/>
  <c r="D233" i="1"/>
  <c r="B233" i="1"/>
  <c r="D232" i="1"/>
  <c r="B232" i="1"/>
  <c r="D231" i="1"/>
  <c r="B231" i="1"/>
  <c r="D230" i="1"/>
  <c r="B230" i="1"/>
  <c r="D229" i="1"/>
  <c r="B229" i="1"/>
  <c r="D228" i="1"/>
  <c r="B228" i="1"/>
  <c r="D227" i="1"/>
  <c r="B227" i="1"/>
  <c r="D226" i="1"/>
  <c r="B226" i="1"/>
  <c r="D225" i="1"/>
  <c r="B225" i="1"/>
  <c r="D224" i="1"/>
  <c r="B224" i="1"/>
  <c r="D223" i="1"/>
  <c r="B223" i="1"/>
  <c r="D222" i="1"/>
  <c r="B222" i="1"/>
  <c r="D221" i="1"/>
  <c r="B221" i="1"/>
  <c r="D220" i="1"/>
  <c r="B220" i="1"/>
  <c r="D219" i="1"/>
  <c r="B219" i="1"/>
  <c r="D218" i="1"/>
  <c r="B218" i="1"/>
  <c r="D217" i="1"/>
  <c r="B217" i="1"/>
  <c r="D216" i="1"/>
  <c r="B216" i="1"/>
  <c r="D215" i="1"/>
  <c r="B215" i="1"/>
  <c r="D214" i="1"/>
  <c r="B214" i="1"/>
  <c r="D213" i="1"/>
  <c r="B213" i="1"/>
  <c r="D212" i="1"/>
  <c r="B212" i="1"/>
  <c r="D211" i="1"/>
  <c r="B211" i="1"/>
  <c r="D210" i="1"/>
  <c r="B210" i="1"/>
  <c r="D209" i="1"/>
  <c r="B209" i="1"/>
  <c r="D208" i="1"/>
  <c r="B208" i="1"/>
  <c r="D207" i="1"/>
  <c r="B207" i="1"/>
  <c r="D206" i="1"/>
  <c r="B206" i="1"/>
  <c r="D205" i="1"/>
  <c r="B205" i="1"/>
  <c r="D204" i="1"/>
  <c r="B204" i="1"/>
  <c r="D203" i="1"/>
  <c r="B203" i="1"/>
  <c r="D202" i="1"/>
  <c r="B202" i="1"/>
  <c r="D201" i="1"/>
  <c r="B201" i="1"/>
  <c r="D200" i="1"/>
  <c r="B200" i="1"/>
  <c r="D199" i="1"/>
  <c r="B199" i="1"/>
  <c r="D198" i="1"/>
  <c r="B198" i="1"/>
  <c r="D197" i="1"/>
  <c r="B197" i="1"/>
  <c r="D196" i="1"/>
  <c r="B196" i="1"/>
  <c r="D195" i="1"/>
  <c r="B195" i="1"/>
  <c r="D194" i="1"/>
  <c r="B194" i="1"/>
  <c r="D193" i="1"/>
  <c r="B193" i="1"/>
  <c r="D192" i="1"/>
  <c r="B192" i="1"/>
  <c r="D191" i="1"/>
  <c r="B191" i="1"/>
  <c r="D190" i="1"/>
  <c r="B190" i="1"/>
  <c r="D189" i="1"/>
  <c r="B189" i="1"/>
  <c r="D188" i="1"/>
  <c r="B188" i="1"/>
  <c r="D187" i="1"/>
  <c r="B187" i="1"/>
  <c r="D186" i="1"/>
  <c r="B186" i="1"/>
  <c r="D185" i="1"/>
  <c r="B185" i="1"/>
  <c r="D184" i="1"/>
  <c r="B184" i="1"/>
  <c r="D183" i="1"/>
  <c r="B183" i="1"/>
  <c r="D182" i="1"/>
  <c r="B182" i="1"/>
  <c r="D181" i="1"/>
  <c r="B181" i="1"/>
  <c r="D180" i="1"/>
  <c r="B180" i="1"/>
  <c r="D179" i="1"/>
  <c r="B179" i="1"/>
  <c r="D178" i="1"/>
  <c r="B178" i="1"/>
  <c r="D177" i="1"/>
  <c r="B177" i="1"/>
  <c r="D176" i="1"/>
  <c r="B176" i="1"/>
  <c r="D175" i="1"/>
  <c r="B175" i="1"/>
  <c r="D174" i="1"/>
  <c r="B174" i="1"/>
  <c r="D173" i="1"/>
  <c r="B173" i="1"/>
  <c r="D172" i="1"/>
  <c r="B172" i="1"/>
  <c r="D171" i="1"/>
  <c r="B171" i="1"/>
  <c r="D170" i="1"/>
  <c r="B170" i="1"/>
  <c r="D169" i="1"/>
  <c r="B169" i="1"/>
  <c r="D168" i="1"/>
  <c r="B168" i="1"/>
  <c r="D167" i="1"/>
  <c r="B167" i="1"/>
  <c r="D166" i="1"/>
  <c r="B166" i="1"/>
  <c r="D165" i="1"/>
  <c r="B165" i="1"/>
  <c r="D164" i="1"/>
  <c r="B164" i="1"/>
  <c r="D163" i="1"/>
  <c r="B163" i="1"/>
  <c r="D162" i="1"/>
  <c r="B162" i="1"/>
  <c r="D161" i="1"/>
  <c r="B161" i="1"/>
  <c r="D160" i="1"/>
  <c r="B160" i="1"/>
  <c r="D159" i="1"/>
  <c r="B159" i="1"/>
  <c r="D158" i="1"/>
  <c r="B158" i="1"/>
  <c r="D157" i="1"/>
  <c r="B157" i="1"/>
  <c r="D156" i="1"/>
  <c r="B156" i="1"/>
  <c r="D155" i="1"/>
  <c r="B155" i="1"/>
  <c r="D154" i="1"/>
  <c r="B154" i="1"/>
  <c r="D153" i="1"/>
  <c r="B153" i="1"/>
  <c r="D152" i="1"/>
  <c r="B152" i="1"/>
  <c r="D151" i="1"/>
  <c r="B151" i="1"/>
  <c r="D150" i="1"/>
  <c r="B150" i="1"/>
  <c r="D149" i="1"/>
  <c r="B149" i="1"/>
  <c r="D148" i="1"/>
  <c r="B148" i="1"/>
  <c r="D147" i="1"/>
  <c r="B147" i="1"/>
  <c r="D146" i="1"/>
  <c r="B146" i="1"/>
  <c r="D145" i="1"/>
  <c r="B145" i="1"/>
  <c r="D144" i="1"/>
  <c r="B144" i="1"/>
  <c r="D143" i="1"/>
  <c r="B143" i="1"/>
  <c r="D142" i="1"/>
  <c r="B142" i="1"/>
  <c r="D141" i="1"/>
  <c r="B141" i="1"/>
  <c r="D140" i="1"/>
  <c r="B140" i="1"/>
  <c r="D139" i="1"/>
  <c r="B139" i="1"/>
  <c r="D138" i="1"/>
  <c r="B138" i="1"/>
  <c r="D137" i="1"/>
  <c r="B137" i="1"/>
  <c r="D136" i="1"/>
  <c r="B136" i="1"/>
  <c r="D135" i="1"/>
  <c r="B135" i="1"/>
  <c r="D134" i="1"/>
  <c r="B134" i="1"/>
  <c r="D133" i="1"/>
  <c r="B133" i="1"/>
  <c r="D132" i="1"/>
  <c r="B132" i="1"/>
  <c r="D131" i="1"/>
  <c r="B131" i="1"/>
  <c r="D130" i="1"/>
  <c r="B130" i="1"/>
  <c r="D129" i="1"/>
  <c r="B129" i="1"/>
  <c r="D128" i="1"/>
  <c r="B128" i="1"/>
  <c r="D127" i="1"/>
  <c r="B127" i="1"/>
  <c r="D126" i="1"/>
  <c r="B126" i="1"/>
  <c r="D125" i="1"/>
  <c r="B125" i="1"/>
  <c r="D124" i="1"/>
  <c r="B124" i="1"/>
  <c r="D123" i="1"/>
  <c r="B123" i="1"/>
  <c r="D122" i="1"/>
  <c r="B122" i="1"/>
  <c r="D121" i="1"/>
  <c r="B121" i="1"/>
  <c r="D120" i="1"/>
  <c r="B120" i="1"/>
  <c r="D119" i="1"/>
  <c r="B119" i="1"/>
  <c r="D118" i="1"/>
  <c r="B118" i="1"/>
  <c r="D117" i="1"/>
  <c r="B117" i="1"/>
  <c r="D116" i="1"/>
  <c r="B116" i="1"/>
  <c r="D115" i="1"/>
  <c r="B115" i="1"/>
  <c r="D114" i="1"/>
  <c r="B114" i="1"/>
  <c r="D113" i="1"/>
  <c r="B113" i="1"/>
  <c r="D112" i="1"/>
  <c r="B112" i="1"/>
  <c r="D111" i="1"/>
  <c r="B111" i="1"/>
  <c r="D110" i="1"/>
  <c r="B110" i="1"/>
  <c r="D109" i="1"/>
  <c r="B109" i="1"/>
  <c r="D108" i="1"/>
  <c r="B108" i="1"/>
  <c r="D107" i="1"/>
  <c r="B107" i="1"/>
  <c r="D106" i="1"/>
  <c r="B106" i="1"/>
  <c r="D105" i="1"/>
  <c r="B105" i="1"/>
  <c r="D104" i="1"/>
  <c r="B104" i="1"/>
  <c r="D103" i="1"/>
  <c r="B103" i="1"/>
  <c r="D102" i="1"/>
  <c r="B102" i="1"/>
  <c r="D101" i="1"/>
  <c r="B101" i="1"/>
  <c r="D100" i="1"/>
  <c r="B100" i="1"/>
  <c r="D99" i="1"/>
  <c r="B99" i="1"/>
  <c r="D98" i="1"/>
  <c r="B98" i="1"/>
  <c r="D97" i="1"/>
  <c r="B97" i="1"/>
  <c r="D96" i="1"/>
  <c r="B96" i="1"/>
  <c r="D95" i="1"/>
  <c r="B95" i="1"/>
  <c r="D94" i="1"/>
  <c r="B94" i="1"/>
  <c r="D93" i="1"/>
  <c r="B93" i="1"/>
  <c r="D92" i="1"/>
  <c r="B92" i="1"/>
  <c r="D91" i="1"/>
  <c r="B91" i="1"/>
  <c r="D90" i="1"/>
  <c r="B90" i="1"/>
  <c r="D89" i="1"/>
  <c r="B89" i="1"/>
  <c r="D88" i="1"/>
  <c r="B88" i="1"/>
  <c r="D87" i="1"/>
  <c r="B87" i="1"/>
  <c r="D86" i="1"/>
  <c r="B86" i="1"/>
  <c r="D85" i="1"/>
  <c r="B85" i="1"/>
  <c r="D84" i="1"/>
  <c r="B84" i="1"/>
  <c r="D83" i="1"/>
  <c r="B83" i="1"/>
  <c r="D82" i="1"/>
  <c r="B82" i="1"/>
  <c r="D81" i="1"/>
  <c r="B81" i="1"/>
  <c r="D80" i="1"/>
  <c r="B80" i="1"/>
  <c r="D79" i="1"/>
  <c r="B79" i="1"/>
  <c r="D78" i="1"/>
  <c r="B78" i="1"/>
  <c r="D77" i="1"/>
  <c r="B77" i="1"/>
  <c r="D76" i="1"/>
  <c r="B76" i="1"/>
  <c r="D75" i="1"/>
  <c r="B75" i="1"/>
  <c r="D74" i="1"/>
  <c r="B74" i="1"/>
  <c r="D73" i="1"/>
  <c r="B73" i="1"/>
  <c r="D72" i="1"/>
  <c r="B72" i="1"/>
  <c r="D71" i="1"/>
  <c r="B71" i="1"/>
  <c r="D70" i="1"/>
  <c r="B70" i="1"/>
  <c r="D69" i="1"/>
  <c r="B69" i="1"/>
  <c r="D68" i="1"/>
  <c r="B68" i="1"/>
  <c r="D67" i="1"/>
  <c r="B67" i="1"/>
  <c r="D66" i="1"/>
  <c r="B66" i="1"/>
  <c r="D65" i="1"/>
  <c r="B65" i="1"/>
  <c r="D64" i="1"/>
  <c r="B64" i="1"/>
  <c r="D63" i="1"/>
  <c r="B63" i="1"/>
  <c r="D62" i="1"/>
  <c r="B62" i="1"/>
  <c r="D61" i="1"/>
  <c r="B61" i="1"/>
  <c r="D60" i="1"/>
  <c r="B60" i="1"/>
  <c r="D59" i="1"/>
  <c r="B59" i="1"/>
  <c r="D58" i="1"/>
  <c r="B58" i="1"/>
  <c r="D57" i="1"/>
  <c r="B57" i="1"/>
  <c r="D56" i="1"/>
  <c r="B56" i="1"/>
  <c r="D55" i="1"/>
  <c r="B55" i="1"/>
  <c r="D54" i="1"/>
  <c r="B54" i="1"/>
  <c r="D53" i="1"/>
  <c r="B53" i="1"/>
  <c r="D52" i="1"/>
  <c r="B52" i="1"/>
  <c r="D51" i="1"/>
  <c r="B51" i="1"/>
  <c r="D50" i="1"/>
  <c r="B50" i="1"/>
  <c r="D49" i="1"/>
  <c r="B49" i="1"/>
  <c r="D48" i="1"/>
  <c r="B48" i="1"/>
  <c r="D47" i="1"/>
  <c r="B47" i="1"/>
  <c r="D46" i="1"/>
  <c r="B46" i="1"/>
  <c r="D45" i="1"/>
  <c r="B45" i="1"/>
  <c r="D44" i="1"/>
  <c r="B44" i="1"/>
  <c r="D41" i="1"/>
  <c r="B41" i="1"/>
  <c r="D40" i="1"/>
  <c r="B40" i="1"/>
  <c r="D28" i="1"/>
  <c r="D27" i="1"/>
  <c r="B27" i="1"/>
  <c r="D26" i="1"/>
  <c r="D25" i="1"/>
  <c r="B25" i="1"/>
  <c r="D24" i="1"/>
  <c r="D23" i="1"/>
  <c r="D22" i="1"/>
  <c r="D21" i="1"/>
  <c r="D20" i="1"/>
  <c r="D19" i="1"/>
  <c r="D18" i="1"/>
  <c r="D17" i="1"/>
  <c r="D16" i="1"/>
  <c r="D15" i="1"/>
  <c r="D14" i="1"/>
  <c r="D13" i="1"/>
  <c r="D12" i="1"/>
  <c r="D11" i="1"/>
  <c r="D10" i="1"/>
  <c r="D9" i="1"/>
  <c r="D8" i="1"/>
  <c r="D7" i="1"/>
  <c r="D6" i="1"/>
  <c r="D5" i="1"/>
  <c r="D4" i="1"/>
  <c r="B4" i="1"/>
  <c r="D3" i="1"/>
  <c r="B3" i="1"/>
  <c r="D2" i="1"/>
  <c r="B2" i="1"/>
  <c r="B7" i="3" l="1"/>
  <c r="B11" i="3"/>
  <c r="B6" i="3"/>
</calcChain>
</file>

<file path=xl/sharedStrings.xml><?xml version="1.0" encoding="utf-8"?>
<sst xmlns="http://schemas.openxmlformats.org/spreadsheetml/2006/main" count="265" uniqueCount="148">
  <si>
    <t>Date</t>
  </si>
  <si>
    <t>Day</t>
  </si>
  <si>
    <t>Sprint #</t>
  </si>
  <si>
    <t>Task # (per sprint)</t>
  </si>
  <si>
    <t>Task / User Story</t>
  </si>
  <si>
    <t>Category</t>
  </si>
  <si>
    <t>Description of Work Done</t>
  </si>
  <si>
    <t>Hours Spent</t>
  </si>
  <si>
    <t>Status</t>
  </si>
  <si>
    <t>Blockers / Notes</t>
  </si>
  <si>
    <t>Deliverable / Output</t>
  </si>
  <si>
    <t>refactor code and bug fix</t>
  </si>
  <si>
    <t>Development</t>
  </si>
  <si>
    <t>Updated frontend UI/UX to show toast events: success toast on successful Apex call, success toast with workflow end status when ticket workflow completes, and error toast using standard error-handling strategy for failures.</t>
  </si>
  <si>
    <t>Done</t>
  </si>
  <si>
    <t>branch : manage_ticket_page
------------------------------------------
commit :[fce793aaffa41e98ce7a31d834f4780ebf7cf585]
------------------------------------------</t>
  </si>
  <si>
    <t>Implemented conditional CSS styling on ticketBoardColumn (child LWC) based on workflow end status received from manageTicketTracking (parent LWC) after an Apex callout that updates ticket status. Refactored the data contract so the state object passed from parent to child includes both entity fields and calculated fields (e.g. endStatus) instead of passing the flag as a separate property — keeps the API clean and avoids prop drilling. Since LWC doesn't support dynamic className binding on a child component's internal container from the parent (parent only controls the root element's class), applied the styling via a data-end-status HTML attribute on the child's container and targeted it in CSS with the attribute selector .ticket-card[data-end-status="true"].</t>
  </si>
  <si>
    <t>notepad_rule_file :how_child_know_style_basedonpatherstate 
-----------------------------------------
branch : manage_ticket_page
-----------------------------------------
commit : [34c1c058530a1749cdc087ce6f35ac8b9b304d88]</t>
  </si>
  <si>
    <t>add Ticket Link To</t>
  </si>
  <si>
    <t>in the right page  requirement 
1- add the main action to show the ticket link 
2- add  usecase  documentation for this action 
3- add the request api 
4- add the dto 
5- add the sequence for the backEnd lifeCycle
Say who own the pop up 
describe how the pop up looks like 
describe the frontEnd flow and component communication
describe how the call should be done :(@wire and describe how we should work with @ wire : framework detail)</t>
  </si>
  <si>
    <t>blocked until 8 end</t>
  </si>
  <si>
    <t>branch : manage_ticket_page
------------------------------------------
commit :[
{ 7c8f41af75042c1b442a762c4302179f9573c30b, manually}
,
{
05ba22fdea6c95581a00eb21c2642c604644fc44, P013
} ] with the previous commit also manually created
------------------------------------------</t>
  </si>
  <si>
    <t>Monday</t>
  </si>
  <si>
    <t>when a sprint is started I cant clicked it again (BUG)</t>
  </si>
  <si>
    <t>Not Started</t>
  </si>
  <si>
    <t>As a user I want to see the total story point completed , total story point uncompleted and total story points for each sprint</t>
  </si>
  <si>
    <t>Create a excel file for prompt study</t>
  </si>
  <si>
    <t>Other</t>
  </si>
  <si>
    <t>file : prompt_study</t>
  </si>
  <si>
    <t>Problem 1 is about consistency — the container and the child live in different places in the DOM(different lwc) but must change shape together, so one of them can't decide independently. 
Problem 2 is about the second parent breaking the assumption that screen size is what drives everything — it always wants cards, and it needs them smaller, which variant = "row" | "card" alone can't express.</t>
  </si>
  <si>
    <t>Planning</t>
  </si>
  <si>
    <t>Solution 1 answers: "who owns the decision?" — the parent owns it once, and both the container class and the child prop react to the same value. Neither the container nor the child makes an independent decision about screen size.
Solution 2 answers: "what if the trigger is different per parent?" — by splitting variant into shape and size, each parent only controls what it actually knows about. Parent 1 knows about screen size so it sets shape. Parent 2 knows it lives in a tight column so it sets size = compact. The child just renders whatever combination it receives, without caring where it came from.
Found the right prompts for my case</t>
  </si>
  <si>
    <t>Cannot mark as completed until see result of #Task 8</t>
  </si>
  <si>
    <t>file : lwc_tow_problems.svg
---------------------------------------
Found the right Group of prompts
[
P003: {branch : manage_ticket_page
commit : 4b17418667db0275a3d8a4de22240a6b345d3bcc},
P004:{branch: manage_ticket_page,
commit: af86d0c0e08907aae8c1958132891d2cee267357},
P005{branch : manage_ticket_page,
commit : d0ca35292af2db81abf475b1ed96fa580dc9f049}
]</t>
  </si>
  <si>
    <t xml:space="preserve">BUG: in Ticket Tracking page when we load the page and a ticket have hit the endStatus of the assigned workflow to it s type : 
It does not show as that .
</t>
  </si>
  <si>
    <t>5/5/2026-task6-G002-[P006-P007-P008]
branch : manage-ticket_page
commit : 4587551c9913647c93a7a82d5934169d19c2761d</t>
  </si>
  <si>
    <t xml:space="preserve">BUG : assignee field is not showed for ticket tracking 
</t>
  </si>
  <si>
    <t>Tuesday</t>
  </si>
  <si>
    <t xml:space="preserve">BUG : ticket type value is not showed 
</t>
  </si>
  <si>
    <t>Time to found problem : 10 min,
Time to solve the problem with test : 10 min,
Time commit + push + update prompt text and set the tas done : 10 min</t>
  </si>
  <si>
    <t>branch : manage_ticket_page
commit : ae26070df27f40cbe4d9d46dfa0c085b6099cb9c</t>
  </si>
  <si>
    <t>Wednesday</t>
  </si>
  <si>
    <t xml:space="preserve">ticket link </t>
  </si>
  <si>
    <t>branch : manage_ticket_page
commit : 7c8f41af75042c1b442a762c4302179f9573c30b</t>
  </si>
  <si>
    <t xml:space="preserve">Plan to change end status </t>
  </si>
  <si>
    <t>`- update er TASK 13
- update erd TASK 14
- plan for the development change TASK 15</t>
  </si>
  <si>
    <t>Blocked</t>
  </si>
  <si>
    <t>TASK 13
TASK 14</t>
  </si>
  <si>
    <t>UPDATE ER</t>
  </si>
  <si>
    <t>Design</t>
  </si>
  <si>
    <t xml:space="preserve">A PROJECT SHOULD HAVE A SINGLE START STATUS.
A PROJECT SHOULD HAVE A SINGLE END STATUS. </t>
  </si>
  <si>
    <t>branch : manage_ticket_page
commit hash : 501b221833fc2b4d09bc60bf11577d8c8379bb5c
commit message : watch blue change in new_er_diagram or Untitled Diagram-Page2.drawio.png</t>
  </si>
  <si>
    <t>UPDATE ERD</t>
  </si>
  <si>
    <t>FOLLOWING THE ER RELATIONSHIP:
A project has many statuses, but it must also have exactly one Start Status and one End Status.
PROBLEM:
If we store `startStatusId` and `endStatusId` directly in the `Project` table, this creates double coupling between `Project` and `Status`:
* `Project` already owns multiple `Status` records (1-to-many)
* Adding `startStatusId` and `endStatusId` creates extra direct references back to `Status`
This design can become harder to maintain and unnecessarily increases structural complexity.
SOLUTION 1: Normalize using a Many-to-Many (M:N) relationship
A separate mapping structure could be created to define special status roles such as Start and End.
DRAWBACK:
This approach is too complex for a simple requirement where each project only needs:
* One fixed Start Status
* One fixed End Status
SOLUTION 2: Add flags inside `Status`
Add:
* `isStart`
* `isEnd`
This keeps the structure simpler, but introduces integrity and security risks because users could:
* Modify the flags later
* Create multiple Start or End statuses for the same project
REQUIRED DATABASE PROTECTION (TRIGGERS):
1. Project Creation Trigger
   * Automatically create default statuses when a project is created:
   * `Todo` with `isStart = true`
   * `Done` with `isEnd = true`
2. Status Update Trigger
   * Prevent updates to `isStart` and `isEnd` after creation
3. Status Insert Trigger
   * If a new status has `isStart = true`, verify that no other Start status already exists in that project
   * If a new status has `isEnd = true`, verify that no other End status already exists in that project
FINAL RESULT:
This ensures:
* Exactly one Start Status per project
* Exactly one End Status per project
* No duplicate flagged statuses
* Strong integrity enforcement
* Simpler ER design without unnecessary normalization complexity</t>
  </si>
  <si>
    <t>TASK 15</t>
  </si>
  <si>
    <t xml:space="preserve">plan for the development change </t>
  </si>
  <si>
    <t xml:space="preserve">Found the previous code that is affected : 
- DomainCompleteValidator : isEndStatus 
- TicketService : changeTicketState
- ManageTicketTrackingController 
- ManageBacklogController
- manageTicketTracking.js : _loadData method </t>
  </si>
  <si>
    <t>Task 16</t>
  </si>
  <si>
    <t>commit hash : 35b63489ea349ff172c16329adc6603cc1a7256f
commit message : 5/7/2026-sprint1-[task15-task16]</t>
  </si>
  <si>
    <t>P014 - P015 - P016</t>
  </si>
  <si>
    <t>show : 
- total story point for sprint 
- total ended story point for sprint</t>
  </si>
  <si>
    <t>`- update er
- update erd 
- plan for development</t>
  </si>
  <si>
    <t>task 18 , task 19 , task 20</t>
  </si>
  <si>
    <t>update er</t>
  </si>
  <si>
    <t>branch name : manage_ticket_page
commit hash : a8193931ef03369bdd50760f6265aa6c78f6ea7e
commit message : 5/6/2026-sprint1-Task18</t>
  </si>
  <si>
    <t xml:space="preserve">update erd </t>
  </si>
  <si>
    <t>create new 2 field  in sprint object</t>
  </si>
  <si>
    <t>branch name : manage_ticket_page
commit hash : 6890797f7bb9ab5798e19611670a5f55f8072574
commit message : 5/6/2026-sprint1-Task19</t>
  </si>
  <si>
    <t>plan for development</t>
  </si>
  <si>
    <t xml:space="preserve">For Manage Ticket Tracking Page : 
 - show the total story point 
 - show the ended total story point 
For Manage Backlog Page : 
 in each sprint container : 
    - show the total story point 
    - show the ended total story point 
When ticket hit the end status : 
   - ended story point will be increased by the ticket story point if the transaction  sucees.
</t>
  </si>
  <si>
    <t>In Progress</t>
  </si>
  <si>
    <t>Task 21-22</t>
  </si>
  <si>
    <t>show total story points and ended story points in manageTicketTracking page</t>
  </si>
  <si>
    <t>show total story points and ended story points in manageBacklog page</t>
  </si>
  <si>
    <t>Thursday</t>
  </si>
  <si>
    <t>update ui to match jira</t>
  </si>
  <si>
    <t>optimise code for maintainability in manageBacklogPage.js</t>
  </si>
  <si>
    <t xml:space="preserve">when create a new ticket in the sprint container we should update the total story point in it. 
</t>
  </si>
  <si>
    <t>Task 27</t>
  </si>
  <si>
    <t xml:space="preserve">when achieve the done status in the manage ticket tracking page we should update the ended story point so in the same time the total story point will be updated. </t>
  </si>
  <si>
    <t>Bug(manageBacklogPage.js): the story point is calculated based on the retrieved paging not the full sprint story points,
Bug(manageTicketTracking.js): the story point is calculated on the retrieve ticket.
Solution we have already create totalStoryPoint and ended story points  in the Sprint table so we should get from it.</t>
  </si>
  <si>
    <t>Goal / Theme</t>
  </si>
  <si>
    <t>Start Date</t>
  </si>
  <si>
    <t>End Date</t>
  </si>
  <si>
    <t>Duration (days)</t>
  </si>
  <si>
    <t>Sprint 1 goal — describe here</t>
  </si>
  <si>
    <t>Sprint 2 goal — describe here</t>
  </si>
  <si>
    <t>Sprint 3 goal — describe here</t>
  </si>
  <si>
    <t>Sprint 4 goal — describe here</t>
  </si>
  <si>
    <t>Sprint 5 goal — describe here</t>
  </si>
  <si>
    <t>Sprint 6 goal — describe here</t>
  </si>
  <si>
    <t>Project Summary</t>
  </si>
  <si>
    <t>Total hours logged</t>
  </si>
  <si>
    <t>Total tasks logged</t>
  </si>
  <si>
    <t>Distinct days worked</t>
  </si>
  <si>
    <t>Avg tasks per day</t>
  </si>
  <si>
    <t>Avg hours per day</t>
  </si>
  <si>
    <t>Tasks Done</t>
  </si>
  <si>
    <t>Tasks In Progress</t>
  </si>
  <si>
    <t>Tasks Blocked</t>
  </si>
  <si>
    <t>Completion %</t>
  </si>
  <si>
    <t>Hours by Category</t>
  </si>
  <si>
    <t>Hours by Sprint</t>
  </si>
  <si>
    <t>Sprint 1</t>
  </si>
  <si>
    <t>Sprint 2</t>
  </si>
  <si>
    <t>Sprint 3</t>
  </si>
  <si>
    <t>Testing</t>
  </si>
  <si>
    <t>Sprint 4</t>
  </si>
  <si>
    <t>Documentation</t>
  </si>
  <si>
    <t>Sprint 5</t>
  </si>
  <si>
    <t>Meeting</t>
  </si>
  <si>
    <t>Sprint 6</t>
  </si>
  <si>
    <t>Research</t>
  </si>
  <si>
    <t>Setup</t>
  </si>
  <si>
    <t>Deployment</t>
  </si>
  <si>
    <t>`- select total story point from the sprint not calculate : * update load Ticket Tracking, * update load Sprints.</t>
  </si>
  <si>
    <t>`- create ticket &gt;&gt; should affect the total story point. 
So when user create a ticket the totalStoryPoint should be updated</t>
  </si>
  <si>
    <t>branch : manage_ticket
commit : e5745726798c20d1c7b57a1cc501945528bda07a</t>
  </si>
  <si>
    <t>`- update the story point for a ticket should affect the total story point (cannot update the story point for ticket in the end status for the current project).</t>
  </si>
  <si>
    <t>branch : 
commit : d3ff3b37b5a7da4b87f409390e81d24647711433</t>
  </si>
  <si>
    <t>create and update the correct  functions + Test 
without a prompt</t>
  </si>
  <si>
    <t>task 28 , task 29, task 30</t>
  </si>
  <si>
    <t>create and update the correct  functions + Test 
without a prompt : 0.5-&gt; this part manually
update the frontEnd state : -&gt; this part prompt</t>
  </si>
  <si>
    <t xml:space="preserve">create and update the correct  functions + Test 
without a prompt , 
update the front End state :  </t>
  </si>
  <si>
    <t xml:space="preserve">`- delete ticket and delete tickets&gt;&gt; should affect the total story point. </t>
  </si>
  <si>
    <t xml:space="preserve">`- move ticket to backlog </t>
  </si>
  <si>
    <t xml:space="preserve">`- move ticket to sprint </t>
  </si>
  <si>
    <t>commit : 242d8fb23d43b385ab646167a1bd352e1f81a7d7
commit message : 5/7/2026-sprint1-Task-30</t>
  </si>
  <si>
    <t>Friday</t>
  </si>
  <si>
    <t>branch  : manage_ticket_page
commit hash :395d5e0ca9b751e8bf99ac66f205ec356cac47b5
commit message : 5/8/2026-sprint1-Task32</t>
  </si>
  <si>
    <t>I do the change manually in frontEnd Then isee the network request and from it I know the controller and method , Then I set the Todo then I give the ai the prompt  for backEnd
BackEnd : 15 min : AI &gt;&gt; P033.
______________
I am aware on what to change in front End so simply i update the state based on the new response and test i have some problem but i solve in debugging 
FrontEnd : 10 min : Manually with debugging</t>
  </si>
  <si>
    <t xml:space="preserve">` front end BUG : we should return the sprint for the story point update because someone else can use the same app and update another sprint 
so if we update the frontEnd based on just this ticket change so user will not show another user change. , 
and this cannot be updated using wire because we have paging </t>
  </si>
  <si>
    <t xml:space="preserve">I do the change manually in frontEnd Then isee the network request and from it I know the controller and method , Then I set the Todo then I give the ai the prompt  for backEnd
BackEnd : 20 min : AI &gt;&gt; P033. 18 min
_______________
</t>
  </si>
  <si>
    <t>`- update createTicket Response in backEnd 
- update the handler in js with enrich method
I do prompt Task34 but it was not enough</t>
  </si>
  <si>
    <t>Task 34</t>
  </si>
  <si>
    <t>branch  : manage_ticket_page
commit hash : f5dff0b41d8e95f198e6a71a2e5d9e65386c110c
commit message : 5/8/2026-sprint1-[Task33-Task34]</t>
  </si>
  <si>
    <t>what is affected by creating the totalStoryPoint and totalEndedStoryPoint : 
BackEnd:
- select total story point from the sprint not calculate : * update load Ticket Tracking, * update load Sprints. 
- create ticket &gt;&gt; should affect the total story point. 
- delete ticket &gt;&gt; should affect the total story point. 
- update the story point for a ticket should affect the total story point (cannot update the story point for ticket in the end status for the current project).
- move ticket to backlog 
- move ticket to sprint 
- achieve ticket end status</t>
  </si>
  <si>
    <t>`-achieve Ticket End status in Ticket Trackign Page 
`-achieve Ticket End status in Manage Backlog Page</t>
  </si>
  <si>
    <t>`- In Manage Ticket Tracking : do change and see the request to know the controller and method in  apex .
`- in apex update the logic and the return response .
`- in lwc update the state based on the return object</t>
  </si>
  <si>
    <t>Update BackEnd Then create a anonymous apex call to check if I have the expected return response</t>
  </si>
  <si>
    <t>Update FrontEnd based on the new return response</t>
  </si>
  <si>
    <t>`-achieve Ticket End status in Ticket Trackign Page  and Manage Backlog: BACKEND</t>
  </si>
  <si>
    <t>`-achieve Ticket End status in Ticket Trackign Page  and Manage Backlog: FRONTEND</t>
  </si>
  <si>
    <t>Task 36 , 37</t>
  </si>
  <si>
    <t>CREATE SEPARATE : 
- CREATE TICKET WITH SPRINT IN SERVICE
- CREATE TICKET WITHOUT SPRINT IN SERVICE 
- CREATE TICKET FROM BACKLOG
- CREATE TICKET FROM SPRINT</t>
  </si>
  <si>
    <t>5 HOURS</t>
  </si>
  <si>
    <t>TASK 41 DEVELOPMENT</t>
  </si>
  <si>
    <t>1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</si>
</sst>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8" x14ac:knownFonts="1">
    <font>
      <sz val="11"/>
      <color theme="1"/>
      <name val="Calibri"/>
      <family val="2"/>
      <charset val="1"/>
    </font>
    <font>
      <sz val="10"/>
      <name val="Arial"/>
      <family val="2"/>
    </font>
    <font>
      <b/>
      <sz val="11"/>
      <color rgb="FFFFFFFF"/>
      <name val="Arial"/>
      <family val="2"/>
    </font>
    <font>
      <sz val="10"/>
      <name val="Arial"/>
      <family val="2"/>
    </font>
    <font>
      <sz val="10"/>
      <name val="Arial"/>
      <family val="2"/>
      <charset val="1"/>
    </font>
    <font>
      <b/>
      <sz val="16"/>
      <color rgb="FF1F4E78"/>
      <name val="Arial"/>
      <family val="2"/>
    </font>
    <font>
      <b/>
      <sz val="10"/>
      <name val="Arial"/>
      <family val="2"/>
    </font>
    <font>
      <b/>
      <sz val="12"/>
      <color rgb="FF1F4E78"/>
      <name val="Arial"/>
      <family val="2"/>
    </font>
  </fonts>
  <fills count="3">
    <fill>
      <patternFill patternType="none"/>
    </fill>
    <fill>
      <patternFill patternType="gray125"/>
    </fill>
    <fill>
      <patternFill patternType="solid">
        <fgColor rgb="FF1F4E78"/>
        <bgColor rgb="FF00336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3">
    <xf numFmtId="0" fontId="0" fillId="0" borderId="0" xfId="0"/>
    <xf numFmtId="0" fontId="5" fillId="0" borderId="0" xfId="0" applyFont="1"/>
    <xf numFmtId="0" fontId="2" fillId="2" borderId="1" xfId="0" applyFont="1" applyFill="1" applyBorder="1" applyAlignment="1">
      <alignment horizontal="center" vertical="center" wrapText="1"/>
    </xf>
    <xf numFmtId="164" fontId="3" fillId="0" borderId="1" xfId="0" applyNumberFormat="1"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xf>
    <xf numFmtId="165" fontId="3" fillId="0" borderId="1" xfId="0" applyNumberFormat="1" applyFont="1" applyBorder="1" applyAlignment="1">
      <alignment vertical="top" wrapText="1"/>
    </xf>
    <xf numFmtId="0" fontId="4" fillId="0" borderId="1" xfId="0"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center" vertical="top"/>
    </xf>
    <xf numFmtId="0" fontId="4" fillId="0" borderId="2" xfId="0" applyFont="1" applyBorder="1" applyAlignment="1">
      <alignment vertical="top" wrapText="1"/>
    </xf>
    <xf numFmtId="165" fontId="3" fillId="0" borderId="2" xfId="0" applyNumberFormat="1" applyFont="1" applyBorder="1" applyAlignment="1">
      <alignment vertical="top" wrapText="1"/>
    </xf>
    <xf numFmtId="165" fontId="4" fillId="0" borderId="2" xfId="0" applyNumberFormat="1" applyFont="1" applyBorder="1" applyAlignment="1">
      <alignment vertical="top" wrapText="1"/>
    </xf>
    <xf numFmtId="0" fontId="3" fillId="0" borderId="1" xfId="0" applyFont="1" applyBorder="1" applyAlignment="1">
      <alignment vertical="center"/>
    </xf>
    <xf numFmtId="164" fontId="3" fillId="0" borderId="1" xfId="0" applyNumberFormat="1" applyFont="1" applyBorder="1" applyAlignment="1">
      <alignment vertical="center"/>
    </xf>
    <xf numFmtId="0" fontId="6" fillId="0" borderId="0" xfId="0" applyFont="1"/>
    <xf numFmtId="165" fontId="3" fillId="0" borderId="0" xfId="0" applyNumberFormat="1" applyFont="1"/>
    <xf numFmtId="0" fontId="3" fillId="0" borderId="0" xfId="0" applyFont="1"/>
    <xf numFmtId="1" fontId="3" fillId="0" borderId="0" xfId="0" applyNumberFormat="1" applyFont="1"/>
    <xf numFmtId="166" fontId="3" fillId="0" borderId="0" xfId="0" applyNumberFormat="1" applyFont="1"/>
    <xf numFmtId="0" fontId="7" fillId="0" borderId="0" xfId="0" applyFont="1"/>
    <xf numFmtId="0" fontId="1" fillId="0" borderId="1" xfId="0" applyFont="1" applyBorder="1" applyAlignment="1">
      <alignment vertical="top" wrapText="1"/>
    </xf>
    <xf numFmtId="165" fontId="1" fillId="0" borderId="1" xfId="0" applyNumberFormat="1" applyFont="1" applyBorder="1" applyAlignment="1">
      <alignment vertical="top" wrapText="1"/>
    </xf>
  </cellXfs>
  <cellStyles count="1">
    <cellStyle name="Normal" xfId="0" builtinId="0"/>
  </cellStyles>
  <dxfs count="8">
    <dxf>
      <fill>
        <patternFill>
          <bgColor rgb="FFFFC7CE"/>
        </patternFill>
      </fill>
    </dxf>
    <dxf>
      <fill>
        <patternFill>
          <bgColor rgb="FFFFEB9C"/>
        </patternFill>
      </fill>
    </dxf>
    <dxf>
      <fill>
        <patternFill>
          <bgColor rgb="FFC6EFCE"/>
        </patternFill>
      </fill>
    </dxf>
    <dxf>
      <fill>
        <patternFill>
          <bgColor rgb="FFE7E6E6"/>
        </patternFill>
      </fill>
    </dxf>
    <dxf>
      <fill>
        <patternFill>
          <bgColor rgb="FFFFC7CE"/>
        </patternFill>
      </fill>
    </dxf>
    <dxf>
      <fill>
        <patternFill>
          <bgColor rgb="FFFFEB9C"/>
        </patternFill>
      </fill>
    </dxf>
    <dxf>
      <fill>
        <patternFill>
          <bgColor rgb="FFC6EFCE"/>
        </patternFill>
      </fill>
    </dxf>
    <dxf>
      <fill>
        <patternFill>
          <bgColor rgb="FFDDEBF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8"/>
  <sheetViews>
    <sheetView tabSelected="1" topLeftCell="B1" zoomScale="115" zoomScaleNormal="115" workbookViewId="0">
      <pane ySplit="1" topLeftCell="A41" activePane="bottomLeft" state="frozen"/>
      <selection pane="bottomLeft" activeCell="E48" sqref="E48"/>
    </sheetView>
  </sheetViews>
  <sheetFormatPr defaultColWidth="8.6640625" defaultRowHeight="14.4" x14ac:dyDescent="0.3"/>
  <cols>
    <col min="1" max="1" width="12" customWidth="1"/>
    <col min="2" max="2" width="11" customWidth="1"/>
    <col min="3" max="3" width="9" customWidth="1"/>
    <col min="4" max="4" width="10" customWidth="1"/>
    <col min="5" max="5" width="29.77734375" customWidth="1"/>
    <col min="6" max="6" width="17.21875" customWidth="1"/>
    <col min="7" max="7" width="42" customWidth="1"/>
    <col min="8" max="8" width="14.33203125" customWidth="1"/>
    <col min="9" max="9" width="13.5546875" customWidth="1"/>
    <col min="10" max="10" width="28" customWidth="1"/>
    <col min="11" max="11" width="31" customWidth="1"/>
  </cols>
  <sheetData>
    <row r="1" spans="1:11" ht="31.5" customHeight="1" x14ac:dyDescent="0.3">
      <c r="A1" s="2" t="s">
        <v>0</v>
      </c>
      <c r="B1" s="2" t="s">
        <v>1</v>
      </c>
      <c r="C1" s="2" t="s">
        <v>2</v>
      </c>
      <c r="D1" s="2" t="s">
        <v>3</v>
      </c>
      <c r="E1" s="2" t="s">
        <v>4</v>
      </c>
      <c r="F1" s="2" t="s">
        <v>5</v>
      </c>
      <c r="G1" s="2" t="s">
        <v>6</v>
      </c>
      <c r="H1" s="2" t="s">
        <v>7</v>
      </c>
      <c r="I1" s="2" t="s">
        <v>8</v>
      </c>
      <c r="J1" s="2" t="s">
        <v>9</v>
      </c>
      <c r="K1" s="2" t="s">
        <v>10</v>
      </c>
    </row>
    <row r="2" spans="1:11" ht="78.75" customHeight="1" x14ac:dyDescent="0.3">
      <c r="A2" s="3">
        <v>46146</v>
      </c>
      <c r="B2" s="4" t="str">
        <f>IF(A2="","",TEXT(A2,"dddd"))</f>
        <v>Monday</v>
      </c>
      <c r="C2" s="4">
        <v>1</v>
      </c>
      <c r="D2" s="5">
        <f>IF(C2="","",COUNTIF($C$2:C2,C2))</f>
        <v>1</v>
      </c>
      <c r="E2" s="4" t="s">
        <v>11</v>
      </c>
      <c r="F2" s="4" t="s">
        <v>12</v>
      </c>
      <c r="G2" s="4" t="s">
        <v>13</v>
      </c>
      <c r="H2" s="6">
        <v>2</v>
      </c>
      <c r="I2" s="4" t="s">
        <v>14</v>
      </c>
      <c r="J2" s="4"/>
      <c r="K2" s="4" t="s">
        <v>15</v>
      </c>
    </row>
    <row r="3" spans="1:11" ht="231" customHeight="1" x14ac:dyDescent="0.3">
      <c r="A3" s="3">
        <v>46146</v>
      </c>
      <c r="B3" s="4" t="str">
        <f>IF(A3="","",TEXT(A3,"dddd"))</f>
        <v>Monday</v>
      </c>
      <c r="C3" s="4">
        <v>1</v>
      </c>
      <c r="D3" s="5">
        <f>IF(C3="","",COUNTIF($C$2:C3,C3))</f>
        <v>2</v>
      </c>
      <c r="E3" s="4" t="s">
        <v>11</v>
      </c>
      <c r="F3" s="4" t="s">
        <v>12</v>
      </c>
      <c r="G3" s="4" t="s">
        <v>16</v>
      </c>
      <c r="H3" s="6">
        <v>0.5</v>
      </c>
      <c r="I3" s="4" t="s">
        <v>14</v>
      </c>
      <c r="J3" s="4"/>
      <c r="K3" s="4" t="s">
        <v>17</v>
      </c>
    </row>
    <row r="4" spans="1:11" ht="171" customHeight="1" x14ac:dyDescent="0.3">
      <c r="A4" s="3">
        <v>46146</v>
      </c>
      <c r="B4" s="4" t="str">
        <f>IF(A4="","",TEXT(A4,"dddd"))</f>
        <v>Monday</v>
      </c>
      <c r="C4" s="4">
        <v>1</v>
      </c>
      <c r="D4" s="5">
        <f>IF(C4="","",COUNTIF($C$2:C4,C4))</f>
        <v>3</v>
      </c>
      <c r="E4" s="7" t="s">
        <v>18</v>
      </c>
      <c r="F4" s="4" t="s">
        <v>12</v>
      </c>
      <c r="G4" s="7" t="s">
        <v>19</v>
      </c>
      <c r="H4" s="6">
        <v>2</v>
      </c>
      <c r="I4" s="4" t="s">
        <v>14</v>
      </c>
      <c r="J4" s="4" t="s">
        <v>20</v>
      </c>
      <c r="K4" s="7" t="s">
        <v>21</v>
      </c>
    </row>
    <row r="5" spans="1:11" ht="26.25" customHeight="1" x14ac:dyDescent="0.3">
      <c r="A5" s="3">
        <v>46147</v>
      </c>
      <c r="B5" s="4" t="s">
        <v>22</v>
      </c>
      <c r="C5" s="4">
        <v>1</v>
      </c>
      <c r="D5" s="5">
        <f>IF(C5="","",COUNTIF($C$2:C5,C5))</f>
        <v>4</v>
      </c>
      <c r="E5" s="7" t="s">
        <v>23</v>
      </c>
      <c r="F5" s="4" t="s">
        <v>12</v>
      </c>
      <c r="G5" s="4"/>
      <c r="H5" s="6"/>
      <c r="I5" s="4" t="s">
        <v>24</v>
      </c>
      <c r="J5" s="4" t="s">
        <v>20</v>
      </c>
      <c r="K5" s="4"/>
    </row>
    <row r="6" spans="1:11" ht="52.5" customHeight="1" x14ac:dyDescent="0.3">
      <c r="A6" s="3">
        <v>46147</v>
      </c>
      <c r="B6" s="4" t="s">
        <v>22</v>
      </c>
      <c r="C6" s="4">
        <v>1</v>
      </c>
      <c r="D6" s="5">
        <f>IF(C6="","",COUNTIF($C$2:C6,C6))</f>
        <v>5</v>
      </c>
      <c r="E6" s="4" t="s">
        <v>25</v>
      </c>
      <c r="F6" s="4" t="s">
        <v>12</v>
      </c>
      <c r="G6" s="4"/>
      <c r="H6" s="6"/>
      <c r="I6" s="4" t="s">
        <v>24</v>
      </c>
      <c r="J6" s="4" t="s">
        <v>20</v>
      </c>
      <c r="K6" s="4"/>
    </row>
    <row r="7" spans="1:11" ht="26.25" customHeight="1" x14ac:dyDescent="0.3">
      <c r="A7" s="3">
        <v>46147</v>
      </c>
      <c r="B7" s="4" t="s">
        <v>22</v>
      </c>
      <c r="C7" s="4">
        <v>1</v>
      </c>
      <c r="D7" s="5">
        <f>IF(C7="","",COUNTIF($C$2:C7,C7))</f>
        <v>6</v>
      </c>
      <c r="E7" s="4" t="s">
        <v>26</v>
      </c>
      <c r="F7" s="4" t="s">
        <v>27</v>
      </c>
      <c r="G7" s="4"/>
      <c r="H7" s="6">
        <v>1.1200000000000001</v>
      </c>
      <c r="I7" s="4" t="s">
        <v>14</v>
      </c>
      <c r="J7" s="4"/>
      <c r="K7" s="4" t="s">
        <v>28</v>
      </c>
    </row>
    <row r="8" spans="1:11" ht="261" customHeight="1" x14ac:dyDescent="0.3">
      <c r="A8" s="3">
        <v>46147</v>
      </c>
      <c r="B8" s="7" t="s">
        <v>22</v>
      </c>
      <c r="C8" s="4">
        <v>1</v>
      </c>
      <c r="D8" s="5">
        <f>IF(C8="","",COUNTIF($C$2:C8,C8))</f>
        <v>7</v>
      </c>
      <c r="E8" s="4" t="s">
        <v>29</v>
      </c>
      <c r="F8" s="4" t="s">
        <v>30</v>
      </c>
      <c r="G8" s="7" t="s">
        <v>31</v>
      </c>
      <c r="H8" s="6">
        <v>3</v>
      </c>
      <c r="I8" s="7" t="s">
        <v>14</v>
      </c>
      <c r="J8" s="4" t="s">
        <v>32</v>
      </c>
      <c r="K8" s="7" t="s">
        <v>33</v>
      </c>
    </row>
    <row r="9" spans="1:11" ht="105" customHeight="1" x14ac:dyDescent="0.3">
      <c r="A9" s="3">
        <v>46147</v>
      </c>
      <c r="B9" s="4" t="s">
        <v>22</v>
      </c>
      <c r="C9" s="4">
        <v>1</v>
      </c>
      <c r="D9" s="5">
        <f>IF(C9="","",COUNTIF($C$2:C9,C9))</f>
        <v>8</v>
      </c>
      <c r="E9" s="7" t="s">
        <v>34</v>
      </c>
      <c r="F9" s="4" t="s">
        <v>12</v>
      </c>
      <c r="G9" s="4"/>
      <c r="H9" s="6">
        <v>1</v>
      </c>
      <c r="I9" s="4" t="s">
        <v>14</v>
      </c>
      <c r="J9" s="4"/>
      <c r="K9" s="4" t="s">
        <v>35</v>
      </c>
    </row>
    <row r="10" spans="1:11" ht="39" customHeight="1" x14ac:dyDescent="0.3">
      <c r="A10" s="3">
        <v>46147</v>
      </c>
      <c r="B10" s="4" t="s">
        <v>22</v>
      </c>
      <c r="C10" s="4">
        <v>1</v>
      </c>
      <c r="D10" s="5">
        <f>IF(C10="","",COUNTIF($C$2:C10,C10))</f>
        <v>9</v>
      </c>
      <c r="E10" s="7" t="s">
        <v>36</v>
      </c>
      <c r="F10" s="4" t="s">
        <v>12</v>
      </c>
      <c r="G10" s="4"/>
      <c r="H10" s="6"/>
      <c r="I10" s="4" t="s">
        <v>14</v>
      </c>
      <c r="J10" s="4"/>
      <c r="K10" s="4"/>
    </row>
    <row r="11" spans="1:11" ht="66" customHeight="1" x14ac:dyDescent="0.3">
      <c r="A11" s="3">
        <v>46148</v>
      </c>
      <c r="B11" s="4" t="s">
        <v>37</v>
      </c>
      <c r="C11" s="4">
        <v>1</v>
      </c>
      <c r="D11" s="5">
        <f>IF(C11="","",COUNTIF($C$2:C11,C11))</f>
        <v>10</v>
      </c>
      <c r="E11" s="7" t="s">
        <v>38</v>
      </c>
      <c r="F11" s="4" t="s">
        <v>12</v>
      </c>
      <c r="G11" s="4" t="s">
        <v>39</v>
      </c>
      <c r="H11" s="6">
        <v>0.2</v>
      </c>
      <c r="I11" s="4" t="s">
        <v>14</v>
      </c>
      <c r="J11" s="4"/>
      <c r="K11" s="4" t="s">
        <v>40</v>
      </c>
    </row>
    <row r="12" spans="1:11" ht="52.5" customHeight="1" x14ac:dyDescent="0.3">
      <c r="A12" s="3">
        <v>46148</v>
      </c>
      <c r="B12" s="4" t="s">
        <v>41</v>
      </c>
      <c r="C12" s="4">
        <v>1</v>
      </c>
      <c r="D12" s="5">
        <f>IF(C12="","",COUNTIF($C$2:C12,C12))</f>
        <v>11</v>
      </c>
      <c r="E12" s="4" t="s">
        <v>42</v>
      </c>
      <c r="F12" s="4" t="s">
        <v>12</v>
      </c>
      <c r="G12" s="4"/>
      <c r="H12" s="6">
        <v>2</v>
      </c>
      <c r="I12" s="4" t="s">
        <v>14</v>
      </c>
      <c r="J12" s="4"/>
      <c r="K12" s="4" t="s">
        <v>43</v>
      </c>
    </row>
    <row r="13" spans="1:11" ht="59.25" customHeight="1" x14ac:dyDescent="0.3">
      <c r="A13" s="3">
        <v>46148</v>
      </c>
      <c r="B13" s="4" t="s">
        <v>41</v>
      </c>
      <c r="C13" s="4">
        <v>1</v>
      </c>
      <c r="D13" s="5">
        <f>IF(C13="","",COUNTIF($C$2:C13,C13))</f>
        <v>12</v>
      </c>
      <c r="E13" s="4" t="s">
        <v>44</v>
      </c>
      <c r="F13" s="4" t="s">
        <v>30</v>
      </c>
      <c r="G13" s="4" t="s">
        <v>45</v>
      </c>
      <c r="H13" s="6">
        <v>0.3</v>
      </c>
      <c r="I13" s="4" t="s">
        <v>46</v>
      </c>
      <c r="J13" s="4" t="s">
        <v>47</v>
      </c>
      <c r="K13" s="4"/>
    </row>
    <row r="14" spans="1:11" ht="92.25" customHeight="1" x14ac:dyDescent="0.3">
      <c r="A14" s="3">
        <v>46148</v>
      </c>
      <c r="B14" s="4" t="s">
        <v>41</v>
      </c>
      <c r="C14" s="4">
        <v>1</v>
      </c>
      <c r="D14" s="5">
        <f>IF(C14="","",COUNTIF($C$2:C14,C14))</f>
        <v>13</v>
      </c>
      <c r="E14" s="4" t="s">
        <v>48</v>
      </c>
      <c r="F14" s="4" t="s">
        <v>49</v>
      </c>
      <c r="G14" s="4" t="s">
        <v>50</v>
      </c>
      <c r="H14" s="6">
        <v>0.1</v>
      </c>
      <c r="I14" s="4" t="s">
        <v>14</v>
      </c>
      <c r="J14" s="4"/>
      <c r="K14" s="4" t="s">
        <v>51</v>
      </c>
    </row>
    <row r="15" spans="1:11" ht="408.75" customHeight="1" x14ac:dyDescent="0.3">
      <c r="A15" s="3">
        <v>46148</v>
      </c>
      <c r="B15" s="4" t="s">
        <v>41</v>
      </c>
      <c r="C15" s="4">
        <v>1</v>
      </c>
      <c r="D15" s="5">
        <f>IF(C15="","",COUNTIF($C$2:C15,C15))</f>
        <v>14</v>
      </c>
      <c r="E15" s="4" t="s">
        <v>52</v>
      </c>
      <c r="F15" s="4" t="s">
        <v>49</v>
      </c>
      <c r="G15" s="4" t="s">
        <v>53</v>
      </c>
      <c r="H15" s="6">
        <v>0.3</v>
      </c>
      <c r="I15" s="4" t="s">
        <v>46</v>
      </c>
      <c r="J15" s="4" t="s">
        <v>54</v>
      </c>
      <c r="K15" s="4"/>
    </row>
    <row r="16" spans="1:11" ht="107.25" customHeight="1" x14ac:dyDescent="0.3">
      <c r="A16" s="3">
        <v>46148</v>
      </c>
      <c r="B16" s="4" t="s">
        <v>41</v>
      </c>
      <c r="C16" s="4">
        <v>1</v>
      </c>
      <c r="D16" s="5">
        <f>IF(C16="","",COUNTIF($C$2:C16,C16))</f>
        <v>15</v>
      </c>
      <c r="E16" s="4" t="s">
        <v>55</v>
      </c>
      <c r="F16" s="4" t="s">
        <v>30</v>
      </c>
      <c r="G16" s="4" t="s">
        <v>56</v>
      </c>
      <c r="H16" s="6">
        <v>0.4</v>
      </c>
      <c r="I16" s="4" t="s">
        <v>46</v>
      </c>
      <c r="J16" s="4" t="s">
        <v>57</v>
      </c>
      <c r="K16" s="4" t="s">
        <v>58</v>
      </c>
    </row>
    <row r="17" spans="1:11" ht="78.75" customHeight="1" x14ac:dyDescent="0.3">
      <c r="A17" s="3">
        <v>46148</v>
      </c>
      <c r="B17" s="4" t="s">
        <v>41</v>
      </c>
      <c r="C17" s="4">
        <v>1</v>
      </c>
      <c r="D17" s="5">
        <f>IF(C17="","",COUNTIF($C$2:C17,C17))</f>
        <v>16</v>
      </c>
      <c r="E17" s="4"/>
      <c r="F17" s="4" t="s">
        <v>12</v>
      </c>
      <c r="G17" s="4" t="s">
        <v>59</v>
      </c>
      <c r="H17" s="6">
        <v>0.3</v>
      </c>
      <c r="I17" s="4" t="s">
        <v>14</v>
      </c>
      <c r="J17" s="4"/>
      <c r="K17" s="4" t="s">
        <v>58</v>
      </c>
    </row>
    <row r="18" spans="1:11" ht="39" customHeight="1" x14ac:dyDescent="0.3">
      <c r="A18" s="3">
        <v>46148</v>
      </c>
      <c r="B18" s="4" t="s">
        <v>41</v>
      </c>
      <c r="C18" s="4">
        <v>1</v>
      </c>
      <c r="D18" s="5">
        <f>IF(C18="","",COUNTIF($C$2:C18,C18))</f>
        <v>17</v>
      </c>
      <c r="E18" s="4" t="s">
        <v>60</v>
      </c>
      <c r="F18" s="4" t="s">
        <v>30</v>
      </c>
      <c r="G18" s="4" t="s">
        <v>61</v>
      </c>
      <c r="H18" s="6"/>
      <c r="I18" s="4" t="s">
        <v>46</v>
      </c>
      <c r="J18" s="7" t="s">
        <v>62</v>
      </c>
      <c r="K18" s="4"/>
    </row>
    <row r="19" spans="1:11" ht="105" customHeight="1" x14ac:dyDescent="0.3">
      <c r="A19" s="3">
        <v>46148</v>
      </c>
      <c r="B19" s="4" t="s">
        <v>41</v>
      </c>
      <c r="C19" s="4">
        <v>1</v>
      </c>
      <c r="D19" s="5">
        <f>IF(C19="","",COUNTIF($C$2:C19,C19))</f>
        <v>18</v>
      </c>
      <c r="E19" s="4" t="s">
        <v>63</v>
      </c>
      <c r="F19" s="4" t="s">
        <v>49</v>
      </c>
      <c r="G19" s="4"/>
      <c r="H19" s="6">
        <v>0.1</v>
      </c>
      <c r="I19" s="4" t="s">
        <v>14</v>
      </c>
      <c r="J19" s="4"/>
      <c r="K19" s="4" t="s">
        <v>64</v>
      </c>
    </row>
    <row r="20" spans="1:11" ht="105" customHeight="1" x14ac:dyDescent="0.3">
      <c r="A20" s="3">
        <v>46148</v>
      </c>
      <c r="B20" s="4" t="s">
        <v>41</v>
      </c>
      <c r="C20" s="4">
        <v>1</v>
      </c>
      <c r="D20" s="5">
        <f>IF(C20="","",COUNTIF($C$2:C20,C20))</f>
        <v>19</v>
      </c>
      <c r="E20" s="7" t="s">
        <v>65</v>
      </c>
      <c r="F20" s="4" t="s">
        <v>12</v>
      </c>
      <c r="G20" s="7" t="s">
        <v>66</v>
      </c>
      <c r="H20" s="6">
        <v>0.1</v>
      </c>
      <c r="I20" s="4" t="s">
        <v>14</v>
      </c>
      <c r="J20" s="4"/>
      <c r="K20" s="7" t="s">
        <v>67</v>
      </c>
    </row>
    <row r="21" spans="1:11" ht="144.75" customHeight="1" x14ac:dyDescent="0.3">
      <c r="A21" s="3">
        <v>46148</v>
      </c>
      <c r="B21" s="4" t="s">
        <v>41</v>
      </c>
      <c r="C21" s="4">
        <v>1</v>
      </c>
      <c r="D21" s="5">
        <f>IF(C21="","",COUNTIF($C$2:C21,C21))</f>
        <v>20</v>
      </c>
      <c r="E21" s="4" t="s">
        <v>68</v>
      </c>
      <c r="F21" s="4" t="s">
        <v>30</v>
      </c>
      <c r="G21" s="7" t="s">
        <v>69</v>
      </c>
      <c r="H21" s="6">
        <v>0.4</v>
      </c>
      <c r="I21" s="4" t="s">
        <v>70</v>
      </c>
      <c r="J21" s="7" t="s">
        <v>71</v>
      </c>
      <c r="K21" s="4"/>
    </row>
    <row r="22" spans="1:11" ht="39" customHeight="1" x14ac:dyDescent="0.3">
      <c r="A22" s="3">
        <v>46148</v>
      </c>
      <c r="B22" s="4" t="s">
        <v>41</v>
      </c>
      <c r="C22" s="4">
        <v>1</v>
      </c>
      <c r="D22" s="5">
        <f>IF(C22="","",COUNTIF($C$2:C22,C22))</f>
        <v>21</v>
      </c>
      <c r="E22" s="7" t="s">
        <v>72</v>
      </c>
      <c r="F22" s="4" t="s">
        <v>12</v>
      </c>
      <c r="G22" s="4"/>
      <c r="H22" s="6">
        <v>0.2</v>
      </c>
      <c r="I22" s="4" t="s">
        <v>14</v>
      </c>
      <c r="J22" s="4"/>
      <c r="K22" s="4"/>
    </row>
    <row r="23" spans="1:11" ht="39" customHeight="1" x14ac:dyDescent="0.3">
      <c r="A23" s="3">
        <v>46148</v>
      </c>
      <c r="B23" s="4" t="s">
        <v>41</v>
      </c>
      <c r="C23" s="4">
        <v>1</v>
      </c>
      <c r="D23" s="5">
        <f>IF(C23="","",COUNTIF($C$2:C23,C23))</f>
        <v>22</v>
      </c>
      <c r="E23" s="7" t="s">
        <v>73</v>
      </c>
      <c r="F23" s="4" t="s">
        <v>12</v>
      </c>
      <c r="G23" s="4"/>
      <c r="H23" s="6">
        <v>0.1</v>
      </c>
      <c r="I23" s="4" t="s">
        <v>14</v>
      </c>
      <c r="J23" s="4"/>
      <c r="K23" s="4"/>
    </row>
    <row r="24" spans="1:11" ht="128.25" customHeight="1" x14ac:dyDescent="0.3">
      <c r="A24" s="3">
        <v>46149</v>
      </c>
      <c r="B24" s="8" t="s">
        <v>74</v>
      </c>
      <c r="C24" s="8">
        <v>1</v>
      </c>
      <c r="D24" s="9">
        <f>IF(C24="","",COUNTIF($C$2:C24,C24))</f>
        <v>23</v>
      </c>
      <c r="E24" s="10" t="s">
        <v>75</v>
      </c>
      <c r="F24" s="8" t="s">
        <v>12</v>
      </c>
      <c r="H24" s="11">
        <v>0.5</v>
      </c>
      <c r="I24" s="8" t="s">
        <v>14</v>
      </c>
    </row>
    <row r="25" spans="1:11" ht="26.25" customHeight="1" x14ac:dyDescent="0.3">
      <c r="A25" s="3">
        <v>46149</v>
      </c>
      <c r="B25" s="4" t="str">
        <f>IF(A25="","",TEXT(A25,"dddd"))</f>
        <v>Thursday</v>
      </c>
      <c r="C25" s="4">
        <v>1</v>
      </c>
      <c r="D25" s="5">
        <f>IF(C25="","",COUNTIF($C$2:C25,C25))</f>
        <v>24</v>
      </c>
      <c r="E25" s="10" t="s">
        <v>76</v>
      </c>
      <c r="F25" s="10" t="s">
        <v>12</v>
      </c>
      <c r="H25" s="12">
        <v>0.2</v>
      </c>
      <c r="I25" s="10" t="s">
        <v>14</v>
      </c>
    </row>
    <row r="26" spans="1:11" ht="66" customHeight="1" x14ac:dyDescent="0.3">
      <c r="A26" s="3">
        <v>46149</v>
      </c>
      <c r="B26" s="4" t="s">
        <v>74</v>
      </c>
      <c r="C26" s="4">
        <v>1</v>
      </c>
      <c r="D26" s="5">
        <f>IF(C26="","",COUNTIF($C$2:C26,C26))</f>
        <v>25</v>
      </c>
      <c r="E26" s="7" t="s">
        <v>77</v>
      </c>
      <c r="F26" s="4" t="s">
        <v>12</v>
      </c>
      <c r="G26" s="4"/>
      <c r="H26" s="6"/>
      <c r="I26" s="4" t="s">
        <v>46</v>
      </c>
      <c r="J26" s="7" t="s">
        <v>78</v>
      </c>
      <c r="K26" s="4"/>
    </row>
    <row r="27" spans="1:11" ht="66" customHeight="1" x14ac:dyDescent="0.3">
      <c r="A27" s="3">
        <v>46149</v>
      </c>
      <c r="B27" s="4" t="str">
        <f>IF(A27="","",TEXT(A27,"dddd"))</f>
        <v>Thursday</v>
      </c>
      <c r="C27" s="4">
        <v>1</v>
      </c>
      <c r="D27" s="5">
        <f>IF(C27="","",COUNTIF($C$2:C27,C27))</f>
        <v>26</v>
      </c>
      <c r="E27" s="4" t="s">
        <v>79</v>
      </c>
      <c r="F27" s="4" t="s">
        <v>12</v>
      </c>
      <c r="G27" s="4"/>
      <c r="H27" s="6"/>
      <c r="I27" s="4" t="s">
        <v>24</v>
      </c>
      <c r="J27" s="4"/>
      <c r="K27" s="4"/>
    </row>
    <row r="28" spans="1:11" ht="208.8" customHeight="1" x14ac:dyDescent="0.3">
      <c r="A28" s="3">
        <v>46149</v>
      </c>
      <c r="B28" s="7" t="s">
        <v>74</v>
      </c>
      <c r="C28" s="7">
        <v>1</v>
      </c>
      <c r="D28" s="5">
        <f>IF(C28="","",COUNTIF($C$2:C28,C28))</f>
        <v>27</v>
      </c>
      <c r="E28" s="7" t="s">
        <v>80</v>
      </c>
      <c r="F28" s="4" t="s">
        <v>12</v>
      </c>
      <c r="G28" s="7" t="s">
        <v>136</v>
      </c>
      <c r="H28" s="6">
        <v>0.4</v>
      </c>
      <c r="I28" s="4" t="s">
        <v>46</v>
      </c>
      <c r="J28" s="21" t="s">
        <v>121</v>
      </c>
      <c r="K28" s="4"/>
    </row>
    <row r="29" spans="1:11" ht="60" customHeight="1" x14ac:dyDescent="0.3">
      <c r="A29" s="3">
        <v>46149</v>
      </c>
      <c r="B29" s="7" t="s">
        <v>74</v>
      </c>
      <c r="C29" s="7">
        <v>1</v>
      </c>
      <c r="D29" s="5">
        <f>IF(C29="","",COUNTIF($C$2:C29,C29))</f>
        <v>28</v>
      </c>
      <c r="E29" s="21" t="s">
        <v>115</v>
      </c>
      <c r="F29" s="4" t="s">
        <v>12</v>
      </c>
      <c r="G29" s="21" t="s">
        <v>120</v>
      </c>
      <c r="H29" s="6">
        <v>1</v>
      </c>
      <c r="I29" s="4" t="s">
        <v>14</v>
      </c>
      <c r="J29" s="4"/>
      <c r="K29" s="21" t="s">
        <v>117</v>
      </c>
    </row>
    <row r="30" spans="1:11" ht="66.599999999999994" customHeight="1" x14ac:dyDescent="0.3">
      <c r="A30" s="3">
        <v>46149</v>
      </c>
      <c r="B30" s="7" t="s">
        <v>74</v>
      </c>
      <c r="C30" s="4">
        <v>1</v>
      </c>
      <c r="D30" s="5">
        <v>29</v>
      </c>
      <c r="E30" s="21" t="s">
        <v>116</v>
      </c>
      <c r="F30" s="4" t="s">
        <v>12</v>
      </c>
      <c r="G30" s="21" t="s">
        <v>123</v>
      </c>
      <c r="H30" s="6">
        <v>1</v>
      </c>
      <c r="I30" s="4" t="s">
        <v>14</v>
      </c>
      <c r="J30" s="4"/>
      <c r="K30" s="21" t="s">
        <v>119</v>
      </c>
    </row>
    <row r="31" spans="1:11" ht="54" customHeight="1" x14ac:dyDescent="0.3">
      <c r="A31" s="3">
        <v>46149</v>
      </c>
      <c r="B31" s="7" t="s">
        <v>74</v>
      </c>
      <c r="C31" s="4">
        <v>1</v>
      </c>
      <c r="D31" s="5">
        <v>30</v>
      </c>
      <c r="E31" s="21" t="s">
        <v>124</v>
      </c>
      <c r="F31" s="4" t="s">
        <v>12</v>
      </c>
      <c r="G31" s="21" t="s">
        <v>122</v>
      </c>
      <c r="H31" s="6">
        <v>3</v>
      </c>
      <c r="I31" s="4" t="s">
        <v>14</v>
      </c>
      <c r="J31" s="4"/>
      <c r="K31" s="21" t="s">
        <v>127</v>
      </c>
    </row>
    <row r="32" spans="1:11" ht="70.8" customHeight="1" x14ac:dyDescent="0.3">
      <c r="A32" s="3">
        <v>46150</v>
      </c>
      <c r="B32" s="7" t="s">
        <v>128</v>
      </c>
      <c r="C32" s="4">
        <v>1</v>
      </c>
      <c r="D32" s="5">
        <v>31</v>
      </c>
      <c r="E32" s="21" t="s">
        <v>118</v>
      </c>
      <c r="F32" s="4" t="s">
        <v>12</v>
      </c>
      <c r="G32" s="4"/>
      <c r="H32" s="6"/>
      <c r="I32" s="4" t="s">
        <v>24</v>
      </c>
      <c r="J32" s="4"/>
      <c r="K32" s="21"/>
    </row>
    <row r="33" spans="1:11" ht="190.8" customHeight="1" x14ac:dyDescent="0.3">
      <c r="A33" s="3">
        <v>46150</v>
      </c>
      <c r="B33" s="7" t="s">
        <v>128</v>
      </c>
      <c r="C33" s="4">
        <v>1</v>
      </c>
      <c r="D33" s="5">
        <v>32</v>
      </c>
      <c r="E33" s="21" t="s">
        <v>125</v>
      </c>
      <c r="F33" s="4" t="s">
        <v>12</v>
      </c>
      <c r="G33" s="21" t="s">
        <v>130</v>
      </c>
      <c r="H33" s="6">
        <v>0.3</v>
      </c>
      <c r="I33" s="4" t="s">
        <v>14</v>
      </c>
      <c r="J33" s="21" t="s">
        <v>134</v>
      </c>
      <c r="K33" s="21" t="s">
        <v>129</v>
      </c>
    </row>
    <row r="34" spans="1:11" ht="118.8" customHeight="1" x14ac:dyDescent="0.3">
      <c r="A34" s="3">
        <v>46150</v>
      </c>
      <c r="B34" s="7" t="s">
        <v>128</v>
      </c>
      <c r="C34" s="4">
        <v>1</v>
      </c>
      <c r="D34" s="5">
        <v>33</v>
      </c>
      <c r="E34" s="21" t="s">
        <v>126</v>
      </c>
      <c r="F34" s="4" t="s">
        <v>12</v>
      </c>
      <c r="G34" s="21" t="s">
        <v>132</v>
      </c>
      <c r="H34" s="6">
        <v>0.3</v>
      </c>
      <c r="I34" s="4" t="s">
        <v>46</v>
      </c>
      <c r="J34" s="4">
        <v>34</v>
      </c>
      <c r="K34" s="21" t="s">
        <v>135</v>
      </c>
    </row>
    <row r="35" spans="1:11" ht="177.6" customHeight="1" x14ac:dyDescent="0.3">
      <c r="A35" s="3">
        <v>46150</v>
      </c>
      <c r="B35" s="7" t="s">
        <v>128</v>
      </c>
      <c r="C35" s="4">
        <v>1</v>
      </c>
      <c r="D35" s="5">
        <v>34</v>
      </c>
      <c r="E35" s="21" t="s">
        <v>131</v>
      </c>
      <c r="F35" s="4" t="s">
        <v>12</v>
      </c>
      <c r="G35" s="21" t="s">
        <v>133</v>
      </c>
      <c r="H35" s="22">
        <v>1</v>
      </c>
      <c r="I35" s="4" t="s">
        <v>14</v>
      </c>
      <c r="J35" s="4"/>
      <c r="K35" s="21" t="s">
        <v>135</v>
      </c>
    </row>
    <row r="36" spans="1:11" ht="93.6" customHeight="1" x14ac:dyDescent="0.3">
      <c r="A36" s="3">
        <v>46150</v>
      </c>
      <c r="B36" s="7" t="s">
        <v>128</v>
      </c>
      <c r="C36" s="4">
        <v>1</v>
      </c>
      <c r="D36" s="5">
        <v>35</v>
      </c>
      <c r="E36" s="21" t="s">
        <v>137</v>
      </c>
      <c r="F36" s="4" t="s">
        <v>12</v>
      </c>
      <c r="G36" s="21" t="s">
        <v>138</v>
      </c>
      <c r="H36" s="6"/>
      <c r="I36" s="4" t="s">
        <v>46</v>
      </c>
      <c r="J36" s="21" t="s">
        <v>143</v>
      </c>
      <c r="K36" s="4"/>
    </row>
    <row r="37" spans="1:11" ht="57.6" customHeight="1" x14ac:dyDescent="0.3">
      <c r="A37" s="3">
        <v>46150</v>
      </c>
      <c r="B37" s="21" t="s">
        <v>128</v>
      </c>
      <c r="C37" s="4">
        <v>1</v>
      </c>
      <c r="D37" s="5">
        <v>36</v>
      </c>
      <c r="E37" s="21" t="s">
        <v>141</v>
      </c>
      <c r="F37" s="21" t="s">
        <v>12</v>
      </c>
      <c r="G37" s="21" t="s">
        <v>139</v>
      </c>
      <c r="H37" s="6">
        <v>0.3</v>
      </c>
      <c r="I37" s="4" t="s">
        <v>14</v>
      </c>
      <c r="J37" s="4"/>
      <c r="K37" s="4"/>
    </row>
    <row r="38" spans="1:11" ht="43.8" customHeight="1" x14ac:dyDescent="0.3">
      <c r="A38" s="3">
        <v>46150</v>
      </c>
      <c r="B38" s="21" t="s">
        <v>128</v>
      </c>
      <c r="C38" s="4">
        <v>1</v>
      </c>
      <c r="D38" s="5">
        <v>37</v>
      </c>
      <c r="E38" s="21" t="s">
        <v>142</v>
      </c>
      <c r="F38" s="21" t="s">
        <v>12</v>
      </c>
      <c r="G38" s="21" t="s">
        <v>140</v>
      </c>
      <c r="H38" s="6">
        <v>0.3</v>
      </c>
      <c r="I38" s="4" t="s">
        <v>14</v>
      </c>
      <c r="J38" s="4"/>
      <c r="K38" s="4"/>
    </row>
    <row r="39" spans="1:11" ht="14.25" customHeight="1" x14ac:dyDescent="0.3">
      <c r="A39" s="3"/>
      <c r="B39" s="21" t="s">
        <v>128</v>
      </c>
      <c r="C39" s="4">
        <v>1</v>
      </c>
      <c r="D39" s="5">
        <v>38</v>
      </c>
      <c r="E39" s="4"/>
      <c r="F39" s="4"/>
      <c r="G39" s="4"/>
      <c r="H39" s="6"/>
      <c r="I39" s="4"/>
      <c r="J39" s="4"/>
      <c r="K39" s="4"/>
    </row>
    <row r="40" spans="1:11" ht="14.25" customHeight="1" x14ac:dyDescent="0.3">
      <c r="A40" s="3"/>
      <c r="B40" s="4" t="str">
        <f t="shared" ref="B30:B93" si="0">IF(A40="","",TEXT(A40,"dddd"))</f>
        <v/>
      </c>
      <c r="C40" s="4"/>
      <c r="D40" s="5" t="str">
        <f>IF(C40="","",COUNTIF($C$2:C40,C40))</f>
        <v/>
      </c>
      <c r="E40" s="4"/>
      <c r="F40" s="4"/>
      <c r="G40" s="4"/>
      <c r="H40" s="6"/>
      <c r="I40" s="4"/>
      <c r="J40" s="4"/>
      <c r="K40" s="4"/>
    </row>
    <row r="41" spans="1:11" ht="14.25" customHeight="1" x14ac:dyDescent="0.3">
      <c r="A41" s="3"/>
      <c r="B41" s="4" t="str">
        <f t="shared" si="0"/>
        <v/>
      </c>
      <c r="C41" s="4"/>
      <c r="D41" s="5" t="str">
        <f>IF(C41="","",COUNTIF($C$2:C41,C41))</f>
        <v/>
      </c>
      <c r="E41" s="4"/>
      <c r="F41" s="4"/>
      <c r="G41" s="4"/>
      <c r="H41" s="6"/>
      <c r="I41" s="4"/>
      <c r="J41" s="4"/>
      <c r="K41" s="4"/>
    </row>
    <row r="42" spans="1:11" ht="142.19999999999999" customHeight="1" x14ac:dyDescent="0.3">
      <c r="A42" s="3"/>
      <c r="B42" s="21" t="s">
        <v>22</v>
      </c>
      <c r="C42" s="4">
        <v>2</v>
      </c>
      <c r="D42" s="5">
        <v>41</v>
      </c>
      <c r="E42" s="21" t="s">
        <v>144</v>
      </c>
      <c r="F42" s="4" t="s">
        <v>30</v>
      </c>
      <c r="G42" s="4"/>
      <c r="H42" s="22" t="s">
        <v>145</v>
      </c>
      <c r="I42" s="4" t="s">
        <v>46</v>
      </c>
      <c r="J42" s="4"/>
      <c r="K42" s="4"/>
    </row>
    <row r="43" spans="1:11" ht="14.25" customHeight="1" x14ac:dyDescent="0.3">
      <c r="A43" s="3"/>
      <c r="B43" s="4" t="s">
        <v>22</v>
      </c>
      <c r="C43" s="4">
        <v>2</v>
      </c>
      <c r="D43" s="5">
        <v>42</v>
      </c>
      <c r="E43" s="21" t="s">
        <v>146</v>
      </c>
      <c r="F43" s="4" t="s">
        <v>12</v>
      </c>
      <c r="G43" s="4"/>
      <c r="H43" s="22" t="s">
        <v>147</v>
      </c>
      <c r="I43" s="4" t="s">
        <v>14</v>
      </c>
      <c r="J43" s="4"/>
      <c r="K43" s="4"/>
    </row>
    <row r="44" spans="1:11" ht="14.25" customHeight="1" x14ac:dyDescent="0.3">
      <c r="A44" s="3"/>
      <c r="B44" s="4" t="str">
        <f t="shared" si="0"/>
        <v/>
      </c>
      <c r="C44" s="4"/>
      <c r="D44" s="5" t="str">
        <f>IF(C44="","",COUNTIF($C$2:C44,C44))</f>
        <v/>
      </c>
      <c r="E44" s="4"/>
      <c r="F44" s="4"/>
      <c r="G44" s="4"/>
      <c r="H44" s="6"/>
      <c r="I44" s="4"/>
      <c r="J44" s="4"/>
      <c r="K44" s="4"/>
    </row>
    <row r="45" spans="1:11" ht="14.25" customHeight="1" x14ac:dyDescent="0.3">
      <c r="A45" s="3"/>
      <c r="B45" s="4" t="str">
        <f t="shared" si="0"/>
        <v/>
      </c>
      <c r="C45" s="4"/>
      <c r="D45" s="5" t="str">
        <f>IF(C45="","",COUNTIF($C$2:C45,C45))</f>
        <v/>
      </c>
      <c r="E45" s="4"/>
      <c r="F45" s="4"/>
      <c r="G45" s="4"/>
      <c r="H45" s="6"/>
      <c r="I45" s="4"/>
      <c r="J45" s="4"/>
      <c r="K45" s="4"/>
    </row>
    <row r="46" spans="1:11" ht="14.25" customHeight="1" x14ac:dyDescent="0.3">
      <c r="A46" s="3"/>
      <c r="B46" s="4" t="str">
        <f t="shared" si="0"/>
        <v/>
      </c>
      <c r="C46" s="4"/>
      <c r="D46" s="5" t="str">
        <f>IF(C46="","",COUNTIF($C$2:C46,C46))</f>
        <v/>
      </c>
      <c r="E46" s="4"/>
      <c r="F46" s="4"/>
      <c r="G46" s="4"/>
      <c r="H46" s="6"/>
      <c r="I46" s="4"/>
      <c r="J46" s="4"/>
      <c r="K46" s="4"/>
    </row>
    <row r="47" spans="1:11" ht="14.25" customHeight="1" x14ac:dyDescent="0.3">
      <c r="A47" s="3"/>
      <c r="B47" s="4" t="str">
        <f t="shared" si="0"/>
        <v/>
      </c>
      <c r="C47" s="4"/>
      <c r="D47" s="5" t="str">
        <f>IF(C47="","",COUNTIF($C$2:C47,C47))</f>
        <v/>
      </c>
      <c r="E47" s="4"/>
      <c r="F47" s="4"/>
      <c r="G47" s="4"/>
      <c r="H47" s="6"/>
      <c r="I47" s="4"/>
      <c r="J47" s="4"/>
      <c r="K47" s="4"/>
    </row>
    <row r="48" spans="1:11" ht="14.25" customHeight="1" x14ac:dyDescent="0.3">
      <c r="A48" s="3"/>
      <c r="B48" s="4" t="str">
        <f t="shared" si="0"/>
        <v/>
      </c>
      <c r="C48" s="4"/>
      <c r="D48" s="5" t="str">
        <f>IF(C48="","",COUNTIF($C$2:C48,C48))</f>
        <v/>
      </c>
      <c r="E48" s="4"/>
      <c r="F48" s="4"/>
      <c r="G48" s="4"/>
      <c r="H48" s="6"/>
      <c r="I48" s="4"/>
      <c r="J48" s="4"/>
      <c r="K48" s="4"/>
    </row>
    <row r="49" spans="1:11" ht="14.25" customHeight="1" x14ac:dyDescent="0.3">
      <c r="A49" s="3"/>
      <c r="B49" s="4" t="str">
        <f t="shared" si="0"/>
        <v/>
      </c>
      <c r="C49" s="4"/>
      <c r="D49" s="5" t="str">
        <f>IF(C49="","",COUNTIF($C$2:C49,C49))</f>
        <v/>
      </c>
      <c r="E49" s="4"/>
      <c r="F49" s="4"/>
      <c r="G49" s="4"/>
      <c r="H49" s="6"/>
      <c r="I49" s="4"/>
      <c r="J49" s="4"/>
      <c r="K49" s="4"/>
    </row>
    <row r="50" spans="1:11" ht="14.25" customHeight="1" x14ac:dyDescent="0.3">
      <c r="A50" s="3"/>
      <c r="B50" s="4" t="str">
        <f t="shared" si="0"/>
        <v/>
      </c>
      <c r="C50" s="4"/>
      <c r="D50" s="5" t="str">
        <f>IF(C50="","",COUNTIF($C$2:C50,C50))</f>
        <v/>
      </c>
      <c r="E50" s="4"/>
      <c r="F50" s="4"/>
      <c r="G50" s="4"/>
      <c r="H50" s="6"/>
      <c r="I50" s="4"/>
      <c r="J50" s="4"/>
      <c r="K50" s="4"/>
    </row>
    <row r="51" spans="1:11" ht="14.25" customHeight="1" x14ac:dyDescent="0.3">
      <c r="A51" s="3"/>
      <c r="B51" s="4" t="str">
        <f t="shared" si="0"/>
        <v/>
      </c>
      <c r="C51" s="4"/>
      <c r="D51" s="5" t="str">
        <f>IF(C51="","",COUNTIF($C$2:C51,C51))</f>
        <v/>
      </c>
      <c r="E51" s="4"/>
      <c r="F51" s="4"/>
      <c r="G51" s="4"/>
      <c r="H51" s="6"/>
      <c r="I51" s="4"/>
      <c r="J51" s="4"/>
      <c r="K51" s="4"/>
    </row>
    <row r="52" spans="1:11" ht="14.25" customHeight="1" x14ac:dyDescent="0.3">
      <c r="A52" s="3"/>
      <c r="B52" s="4" t="str">
        <f t="shared" si="0"/>
        <v/>
      </c>
      <c r="C52" s="4"/>
      <c r="D52" s="5" t="str">
        <f>IF(C52="","",COUNTIF($C$2:C52,C52))</f>
        <v/>
      </c>
      <c r="E52" s="4"/>
      <c r="F52" s="4"/>
      <c r="G52" s="4"/>
      <c r="H52" s="6"/>
      <c r="I52" s="4"/>
      <c r="J52" s="4"/>
      <c r="K52" s="4"/>
    </row>
    <row r="53" spans="1:11" ht="14.25" customHeight="1" x14ac:dyDescent="0.3">
      <c r="A53" s="3"/>
      <c r="B53" s="4" t="str">
        <f t="shared" si="0"/>
        <v/>
      </c>
      <c r="C53" s="4"/>
      <c r="D53" s="5" t="str">
        <f>IF(C53="","",COUNTIF($C$2:C53,C53))</f>
        <v/>
      </c>
      <c r="E53" s="4"/>
      <c r="F53" s="4"/>
      <c r="G53" s="4"/>
      <c r="H53" s="6"/>
      <c r="I53" s="4"/>
      <c r="J53" s="4"/>
      <c r="K53" s="4"/>
    </row>
    <row r="54" spans="1:11" ht="14.25" customHeight="1" x14ac:dyDescent="0.3">
      <c r="A54" s="3"/>
      <c r="B54" s="4" t="str">
        <f t="shared" si="0"/>
        <v/>
      </c>
      <c r="C54" s="4"/>
      <c r="D54" s="5" t="str">
        <f>IF(C54="","",COUNTIF($C$2:C54,C54))</f>
        <v/>
      </c>
      <c r="E54" s="4"/>
      <c r="F54" s="4"/>
      <c r="G54" s="4"/>
      <c r="H54" s="6"/>
      <c r="I54" s="4"/>
      <c r="J54" s="4"/>
      <c r="K54" s="4"/>
    </row>
    <row r="55" spans="1:11" ht="14.25" customHeight="1" x14ac:dyDescent="0.3">
      <c r="A55" s="3"/>
      <c r="B55" s="4" t="str">
        <f t="shared" si="0"/>
        <v/>
      </c>
      <c r="C55" s="4"/>
      <c r="D55" s="5" t="str">
        <f>IF(C55="","",COUNTIF($C$2:C55,C55))</f>
        <v/>
      </c>
      <c r="E55" s="4"/>
      <c r="F55" s="4"/>
      <c r="G55" s="4"/>
      <c r="H55" s="6"/>
      <c r="I55" s="4"/>
      <c r="J55" s="4"/>
      <c r="K55" s="4"/>
    </row>
    <row r="56" spans="1:11" ht="14.25" customHeight="1" x14ac:dyDescent="0.3">
      <c r="A56" s="3"/>
      <c r="B56" s="4" t="str">
        <f t="shared" si="0"/>
        <v/>
      </c>
      <c r="C56" s="4"/>
      <c r="D56" s="5" t="str">
        <f>IF(C56="","",COUNTIF($C$2:C56,C56))</f>
        <v/>
      </c>
      <c r="E56" s="4"/>
      <c r="F56" s="4"/>
      <c r="G56" s="4"/>
      <c r="H56" s="6"/>
      <c r="I56" s="4"/>
      <c r="J56" s="4"/>
      <c r="K56" s="4"/>
    </row>
    <row r="57" spans="1:11" ht="14.25" customHeight="1" x14ac:dyDescent="0.3">
      <c r="A57" s="3"/>
      <c r="B57" s="4" t="str">
        <f t="shared" si="0"/>
        <v/>
      </c>
      <c r="C57" s="4"/>
      <c r="D57" s="5" t="str">
        <f>IF(C57="","",COUNTIF($C$2:C57,C57))</f>
        <v/>
      </c>
      <c r="E57" s="4"/>
      <c r="F57" s="4"/>
      <c r="G57" s="4"/>
      <c r="H57" s="6"/>
      <c r="I57" s="4"/>
      <c r="J57" s="4"/>
      <c r="K57" s="4"/>
    </row>
    <row r="58" spans="1:11" ht="14.25" customHeight="1" x14ac:dyDescent="0.3">
      <c r="A58" s="3"/>
      <c r="B58" s="4" t="str">
        <f t="shared" si="0"/>
        <v/>
      </c>
      <c r="C58" s="4"/>
      <c r="D58" s="5" t="str">
        <f>IF(C58="","",COUNTIF($C$2:C58,C58))</f>
        <v/>
      </c>
      <c r="E58" s="4"/>
      <c r="F58" s="4"/>
      <c r="G58" s="4"/>
      <c r="H58" s="6"/>
      <c r="I58" s="4"/>
      <c r="J58" s="4"/>
      <c r="K58" s="4"/>
    </row>
    <row r="59" spans="1:11" ht="14.25" customHeight="1" x14ac:dyDescent="0.3">
      <c r="A59" s="3"/>
      <c r="B59" s="4" t="str">
        <f t="shared" si="0"/>
        <v/>
      </c>
      <c r="C59" s="4"/>
      <c r="D59" s="5" t="str">
        <f>IF(C59="","",COUNTIF($C$2:C59,C59))</f>
        <v/>
      </c>
      <c r="E59" s="4"/>
      <c r="F59" s="4"/>
      <c r="G59" s="4"/>
      <c r="H59" s="6"/>
      <c r="I59" s="4"/>
      <c r="J59" s="4"/>
      <c r="K59" s="4"/>
    </row>
    <row r="60" spans="1:11" ht="14.25" customHeight="1" x14ac:dyDescent="0.3">
      <c r="A60" s="3"/>
      <c r="B60" s="4" t="str">
        <f t="shared" si="0"/>
        <v/>
      </c>
      <c r="C60" s="4"/>
      <c r="D60" s="5" t="str">
        <f>IF(C60="","",COUNTIF($C$2:C60,C60))</f>
        <v/>
      </c>
      <c r="E60" s="4"/>
      <c r="F60" s="4"/>
      <c r="G60" s="4"/>
      <c r="H60" s="6"/>
      <c r="I60" s="4"/>
      <c r="J60" s="4"/>
      <c r="K60" s="4"/>
    </row>
    <row r="61" spans="1:11" ht="14.25" customHeight="1" x14ac:dyDescent="0.3">
      <c r="A61" s="3"/>
      <c r="B61" s="4" t="str">
        <f t="shared" si="0"/>
        <v/>
      </c>
      <c r="C61" s="4"/>
      <c r="D61" s="5" t="str">
        <f>IF(C61="","",COUNTIF($C$2:C61,C61))</f>
        <v/>
      </c>
      <c r="E61" s="4"/>
      <c r="F61" s="4"/>
      <c r="G61" s="4"/>
      <c r="H61" s="6"/>
      <c r="I61" s="4"/>
      <c r="J61" s="4"/>
      <c r="K61" s="4"/>
    </row>
    <row r="62" spans="1:11" ht="14.25" customHeight="1" x14ac:dyDescent="0.3">
      <c r="A62" s="3"/>
      <c r="B62" s="4" t="str">
        <f t="shared" si="0"/>
        <v/>
      </c>
      <c r="C62" s="4"/>
      <c r="D62" s="5" t="str">
        <f>IF(C62="","",COUNTIF($C$2:C62,C62))</f>
        <v/>
      </c>
      <c r="E62" s="4"/>
      <c r="F62" s="4"/>
      <c r="G62" s="4"/>
      <c r="H62" s="6"/>
      <c r="I62" s="4"/>
      <c r="J62" s="4"/>
      <c r="K62" s="4"/>
    </row>
    <row r="63" spans="1:11" ht="14.25" customHeight="1" x14ac:dyDescent="0.3">
      <c r="A63" s="3"/>
      <c r="B63" s="4" t="str">
        <f t="shared" si="0"/>
        <v/>
      </c>
      <c r="C63" s="4"/>
      <c r="D63" s="5" t="str">
        <f>IF(C63="","",COUNTIF($C$2:C63,C63))</f>
        <v/>
      </c>
      <c r="E63" s="4"/>
      <c r="F63" s="4"/>
      <c r="G63" s="4"/>
      <c r="H63" s="6"/>
      <c r="I63" s="4"/>
      <c r="J63" s="4"/>
      <c r="K63" s="4"/>
    </row>
    <row r="64" spans="1:11" ht="14.25" customHeight="1" x14ac:dyDescent="0.3">
      <c r="A64" s="3"/>
      <c r="B64" s="4" t="str">
        <f t="shared" si="0"/>
        <v/>
      </c>
      <c r="C64" s="4"/>
      <c r="D64" s="5" t="str">
        <f>IF(C64="","",COUNTIF($C$2:C64,C64))</f>
        <v/>
      </c>
      <c r="E64" s="4"/>
      <c r="F64" s="4"/>
      <c r="G64" s="4"/>
      <c r="H64" s="6"/>
      <c r="I64" s="4"/>
      <c r="J64" s="4"/>
      <c r="K64" s="4"/>
    </row>
    <row r="65" spans="1:11" ht="14.25" customHeight="1" x14ac:dyDescent="0.3">
      <c r="A65" s="3"/>
      <c r="B65" s="4" t="str">
        <f t="shared" si="0"/>
        <v/>
      </c>
      <c r="C65" s="4"/>
      <c r="D65" s="5" t="str">
        <f>IF(C65="","",COUNTIF($C$2:C65,C65))</f>
        <v/>
      </c>
      <c r="E65" s="4"/>
      <c r="F65" s="4"/>
      <c r="G65" s="4"/>
      <c r="H65" s="6"/>
      <c r="I65" s="4"/>
      <c r="J65" s="4"/>
      <c r="K65" s="4"/>
    </row>
    <row r="66" spans="1:11" ht="14.25" customHeight="1" x14ac:dyDescent="0.3">
      <c r="A66" s="3"/>
      <c r="B66" s="4" t="str">
        <f t="shared" si="0"/>
        <v/>
      </c>
      <c r="C66" s="4"/>
      <c r="D66" s="5" t="str">
        <f>IF(C66="","",COUNTIF($C$2:C66,C66))</f>
        <v/>
      </c>
      <c r="E66" s="4"/>
      <c r="F66" s="4"/>
      <c r="G66" s="4"/>
      <c r="H66" s="6"/>
      <c r="I66" s="4"/>
      <c r="J66" s="4"/>
      <c r="K66" s="4"/>
    </row>
    <row r="67" spans="1:11" ht="14.25" customHeight="1" x14ac:dyDescent="0.3">
      <c r="A67" s="3"/>
      <c r="B67" s="4" t="str">
        <f t="shared" si="0"/>
        <v/>
      </c>
      <c r="C67" s="4"/>
      <c r="D67" s="5" t="str">
        <f>IF(C67="","",COUNTIF($C$2:C67,C67))</f>
        <v/>
      </c>
      <c r="E67" s="4"/>
      <c r="F67" s="4"/>
      <c r="G67" s="4"/>
      <c r="H67" s="6"/>
      <c r="I67" s="4"/>
      <c r="J67" s="4"/>
      <c r="K67" s="4"/>
    </row>
    <row r="68" spans="1:11" ht="14.25" customHeight="1" x14ac:dyDescent="0.3">
      <c r="A68" s="3"/>
      <c r="B68" s="4" t="str">
        <f t="shared" si="0"/>
        <v/>
      </c>
      <c r="C68" s="4"/>
      <c r="D68" s="5" t="str">
        <f>IF(C68="","",COUNTIF($C$2:C68,C68))</f>
        <v/>
      </c>
      <c r="E68" s="4"/>
      <c r="F68" s="4"/>
      <c r="G68" s="4"/>
      <c r="H68" s="6"/>
      <c r="I68" s="4"/>
      <c r="J68" s="4"/>
      <c r="K68" s="4"/>
    </row>
    <row r="69" spans="1:11" ht="14.25" customHeight="1" x14ac:dyDescent="0.3">
      <c r="A69" s="3"/>
      <c r="B69" s="4" t="str">
        <f t="shared" si="0"/>
        <v/>
      </c>
      <c r="C69" s="4"/>
      <c r="D69" s="5" t="str">
        <f>IF(C69="","",COUNTIF($C$2:C69,C69))</f>
        <v/>
      </c>
      <c r="E69" s="4"/>
      <c r="F69" s="4"/>
      <c r="G69" s="4"/>
      <c r="H69" s="6"/>
      <c r="I69" s="4"/>
      <c r="J69" s="4"/>
      <c r="K69" s="4"/>
    </row>
    <row r="70" spans="1:11" ht="14.25" customHeight="1" x14ac:dyDescent="0.3">
      <c r="A70" s="3"/>
      <c r="B70" s="4" t="str">
        <f t="shared" si="0"/>
        <v/>
      </c>
      <c r="C70" s="4"/>
      <c r="D70" s="5" t="str">
        <f>IF(C70="","",COUNTIF($C$2:C70,C70))</f>
        <v/>
      </c>
      <c r="E70" s="4"/>
      <c r="F70" s="4"/>
      <c r="G70" s="4"/>
      <c r="H70" s="6"/>
      <c r="I70" s="4"/>
      <c r="J70" s="4"/>
      <c r="K70" s="4"/>
    </row>
    <row r="71" spans="1:11" ht="14.25" customHeight="1" x14ac:dyDescent="0.3">
      <c r="A71" s="3"/>
      <c r="B71" s="4" t="str">
        <f t="shared" si="0"/>
        <v/>
      </c>
      <c r="C71" s="4"/>
      <c r="D71" s="5" t="str">
        <f>IF(C71="","",COUNTIF($C$2:C71,C71))</f>
        <v/>
      </c>
      <c r="E71" s="4"/>
      <c r="F71" s="4"/>
      <c r="G71" s="4"/>
      <c r="H71" s="6"/>
      <c r="I71" s="4"/>
      <c r="J71" s="4"/>
      <c r="K71" s="4"/>
    </row>
    <row r="72" spans="1:11" ht="14.25" customHeight="1" x14ac:dyDescent="0.3">
      <c r="A72" s="3"/>
      <c r="B72" s="4" t="str">
        <f t="shared" si="0"/>
        <v/>
      </c>
      <c r="C72" s="4"/>
      <c r="D72" s="5" t="str">
        <f>IF(C72="","",COUNTIF($C$2:C72,C72))</f>
        <v/>
      </c>
      <c r="E72" s="4"/>
      <c r="F72" s="4"/>
      <c r="G72" s="4"/>
      <c r="H72" s="6"/>
      <c r="I72" s="4"/>
      <c r="J72" s="4"/>
      <c r="K72" s="4"/>
    </row>
    <row r="73" spans="1:11" ht="14.25" customHeight="1" x14ac:dyDescent="0.3">
      <c r="A73" s="3"/>
      <c r="B73" s="4" t="str">
        <f t="shared" si="0"/>
        <v/>
      </c>
      <c r="C73" s="4"/>
      <c r="D73" s="5" t="str">
        <f>IF(C73="","",COUNTIF($C$2:C73,C73))</f>
        <v/>
      </c>
      <c r="E73" s="4"/>
      <c r="F73" s="4"/>
      <c r="G73" s="4"/>
      <c r="H73" s="6"/>
      <c r="I73" s="4"/>
      <c r="J73" s="4"/>
      <c r="K73" s="4"/>
    </row>
    <row r="74" spans="1:11" ht="14.25" customHeight="1" x14ac:dyDescent="0.3">
      <c r="A74" s="3"/>
      <c r="B74" s="4" t="str">
        <f t="shared" si="0"/>
        <v/>
      </c>
      <c r="C74" s="4"/>
      <c r="D74" s="5" t="str">
        <f>IF(C74="","",COUNTIF($C$2:C74,C74))</f>
        <v/>
      </c>
      <c r="E74" s="4"/>
      <c r="F74" s="4"/>
      <c r="G74" s="4"/>
      <c r="H74" s="6"/>
      <c r="I74" s="4"/>
      <c r="J74" s="4"/>
      <c r="K74" s="4"/>
    </row>
    <row r="75" spans="1:11" ht="14.25" customHeight="1" x14ac:dyDescent="0.3">
      <c r="A75" s="3"/>
      <c r="B75" s="4" t="str">
        <f t="shared" si="0"/>
        <v/>
      </c>
      <c r="C75" s="4"/>
      <c r="D75" s="5" t="str">
        <f>IF(C75="","",COUNTIF($C$2:C75,C75))</f>
        <v/>
      </c>
      <c r="E75" s="4"/>
      <c r="F75" s="4"/>
      <c r="G75" s="4"/>
      <c r="H75" s="6"/>
      <c r="I75" s="4"/>
      <c r="J75" s="4"/>
      <c r="K75" s="4"/>
    </row>
    <row r="76" spans="1:11" ht="14.25" customHeight="1" x14ac:dyDescent="0.3">
      <c r="A76" s="3"/>
      <c r="B76" s="4" t="str">
        <f t="shared" si="0"/>
        <v/>
      </c>
      <c r="C76" s="4"/>
      <c r="D76" s="5" t="str">
        <f>IF(C76="","",COUNTIF($C$2:C76,C76))</f>
        <v/>
      </c>
      <c r="E76" s="4"/>
      <c r="F76" s="4"/>
      <c r="G76" s="4"/>
      <c r="H76" s="6"/>
      <c r="I76" s="4"/>
      <c r="J76" s="4"/>
      <c r="K76" s="4"/>
    </row>
    <row r="77" spans="1:11" ht="14.25" customHeight="1" x14ac:dyDescent="0.3">
      <c r="A77" s="3"/>
      <c r="B77" s="4" t="str">
        <f t="shared" si="0"/>
        <v/>
      </c>
      <c r="C77" s="4"/>
      <c r="D77" s="5" t="str">
        <f>IF(C77="","",COUNTIF($C$2:C77,C77))</f>
        <v/>
      </c>
      <c r="E77" s="4"/>
      <c r="F77" s="4"/>
      <c r="G77" s="4"/>
      <c r="H77" s="6"/>
      <c r="I77" s="4"/>
      <c r="J77" s="4"/>
      <c r="K77" s="4"/>
    </row>
    <row r="78" spans="1:11" ht="14.25" customHeight="1" x14ac:dyDescent="0.3">
      <c r="A78" s="3"/>
      <c r="B78" s="4" t="str">
        <f t="shared" si="0"/>
        <v/>
      </c>
      <c r="C78" s="4"/>
      <c r="D78" s="5" t="str">
        <f>IF(C78="","",COUNTIF($C$2:C78,C78))</f>
        <v/>
      </c>
      <c r="E78" s="4"/>
      <c r="F78" s="4"/>
      <c r="G78" s="4"/>
      <c r="H78" s="6"/>
      <c r="I78" s="4"/>
      <c r="J78" s="4"/>
      <c r="K78" s="4"/>
    </row>
    <row r="79" spans="1:11" ht="14.25" customHeight="1" x14ac:dyDescent="0.3">
      <c r="A79" s="3"/>
      <c r="B79" s="4" t="str">
        <f t="shared" si="0"/>
        <v/>
      </c>
      <c r="C79" s="4"/>
      <c r="D79" s="5" t="str">
        <f>IF(C79="","",COUNTIF($C$2:C79,C79))</f>
        <v/>
      </c>
      <c r="E79" s="4"/>
      <c r="F79" s="4"/>
      <c r="G79" s="4"/>
      <c r="H79" s="6"/>
      <c r="I79" s="4"/>
      <c r="J79" s="4"/>
      <c r="K79" s="4"/>
    </row>
    <row r="80" spans="1:11" ht="14.25" customHeight="1" x14ac:dyDescent="0.3">
      <c r="A80" s="3"/>
      <c r="B80" s="4" t="str">
        <f t="shared" si="0"/>
        <v/>
      </c>
      <c r="C80" s="4"/>
      <c r="D80" s="5" t="str">
        <f>IF(C80="","",COUNTIF($C$2:C80,C80))</f>
        <v/>
      </c>
      <c r="E80" s="4"/>
      <c r="F80" s="4"/>
      <c r="G80" s="4"/>
      <c r="H80" s="6"/>
      <c r="I80" s="4"/>
      <c r="J80" s="4"/>
      <c r="K80" s="4"/>
    </row>
    <row r="81" spans="1:11" ht="14.25" customHeight="1" x14ac:dyDescent="0.3">
      <c r="A81" s="3"/>
      <c r="B81" s="4" t="str">
        <f t="shared" si="0"/>
        <v/>
      </c>
      <c r="C81" s="4"/>
      <c r="D81" s="5" t="str">
        <f>IF(C81="","",COUNTIF($C$2:C81,C81))</f>
        <v/>
      </c>
      <c r="E81" s="4"/>
      <c r="F81" s="4"/>
      <c r="G81" s="4"/>
      <c r="H81" s="6"/>
      <c r="I81" s="4"/>
      <c r="J81" s="4"/>
      <c r="K81" s="4"/>
    </row>
    <row r="82" spans="1:11" ht="14.25" customHeight="1" x14ac:dyDescent="0.3">
      <c r="A82" s="3"/>
      <c r="B82" s="4" t="str">
        <f t="shared" si="0"/>
        <v/>
      </c>
      <c r="C82" s="4"/>
      <c r="D82" s="5" t="str">
        <f>IF(C82="","",COUNTIF($C$2:C82,C82))</f>
        <v/>
      </c>
      <c r="E82" s="4"/>
      <c r="F82" s="4"/>
      <c r="G82" s="4"/>
      <c r="H82" s="6"/>
      <c r="I82" s="4"/>
      <c r="J82" s="4"/>
      <c r="K82" s="4"/>
    </row>
    <row r="83" spans="1:11" ht="14.25" customHeight="1" x14ac:dyDescent="0.3">
      <c r="A83" s="3"/>
      <c r="B83" s="4" t="str">
        <f t="shared" si="0"/>
        <v/>
      </c>
      <c r="C83" s="4"/>
      <c r="D83" s="5" t="str">
        <f>IF(C83="","",COUNTIF($C$2:C83,C83))</f>
        <v/>
      </c>
      <c r="E83" s="4"/>
      <c r="F83" s="4"/>
      <c r="G83" s="4"/>
      <c r="H83" s="6"/>
      <c r="I83" s="4"/>
      <c r="J83" s="4"/>
      <c r="K83" s="4"/>
    </row>
    <row r="84" spans="1:11" ht="14.25" customHeight="1" x14ac:dyDescent="0.3">
      <c r="A84" s="3"/>
      <c r="B84" s="4" t="str">
        <f t="shared" si="0"/>
        <v/>
      </c>
      <c r="C84" s="4"/>
      <c r="D84" s="5" t="str">
        <f>IF(C84="","",COUNTIF($C$2:C84,C84))</f>
        <v/>
      </c>
      <c r="E84" s="4"/>
      <c r="F84" s="4"/>
      <c r="G84" s="4"/>
      <c r="H84" s="6"/>
      <c r="I84" s="4"/>
      <c r="J84" s="4"/>
      <c r="K84" s="4"/>
    </row>
    <row r="85" spans="1:11" ht="14.25" customHeight="1" x14ac:dyDescent="0.3">
      <c r="A85" s="3"/>
      <c r="B85" s="4" t="str">
        <f t="shared" si="0"/>
        <v/>
      </c>
      <c r="C85" s="4"/>
      <c r="D85" s="5" t="str">
        <f>IF(C85="","",COUNTIF($C$2:C85,C85))</f>
        <v/>
      </c>
      <c r="E85" s="4"/>
      <c r="F85" s="4"/>
      <c r="G85" s="4"/>
      <c r="H85" s="6"/>
      <c r="I85" s="4"/>
      <c r="J85" s="4"/>
      <c r="K85" s="4"/>
    </row>
    <row r="86" spans="1:11" ht="14.25" customHeight="1" x14ac:dyDescent="0.3">
      <c r="A86" s="3"/>
      <c r="B86" s="4" t="str">
        <f t="shared" si="0"/>
        <v/>
      </c>
      <c r="C86" s="4"/>
      <c r="D86" s="5" t="str">
        <f>IF(C86="","",COUNTIF($C$2:C86,C86))</f>
        <v/>
      </c>
      <c r="E86" s="4"/>
      <c r="F86" s="4"/>
      <c r="G86" s="4"/>
      <c r="H86" s="6"/>
      <c r="I86" s="4"/>
      <c r="J86" s="4"/>
      <c r="K86" s="4"/>
    </row>
    <row r="87" spans="1:11" ht="14.25" customHeight="1" x14ac:dyDescent="0.3">
      <c r="A87" s="3"/>
      <c r="B87" s="4" t="str">
        <f t="shared" si="0"/>
        <v/>
      </c>
      <c r="C87" s="4"/>
      <c r="D87" s="5" t="str">
        <f>IF(C87="","",COUNTIF($C$2:C87,C87))</f>
        <v/>
      </c>
      <c r="E87" s="4"/>
      <c r="F87" s="4"/>
      <c r="G87" s="4"/>
      <c r="H87" s="6"/>
      <c r="I87" s="4"/>
      <c r="J87" s="4"/>
      <c r="K87" s="4"/>
    </row>
    <row r="88" spans="1:11" ht="14.25" customHeight="1" x14ac:dyDescent="0.3">
      <c r="A88" s="3"/>
      <c r="B88" s="4" t="str">
        <f t="shared" si="0"/>
        <v/>
      </c>
      <c r="C88" s="4"/>
      <c r="D88" s="5" t="str">
        <f>IF(C88="","",COUNTIF($C$2:C88,C88))</f>
        <v/>
      </c>
      <c r="E88" s="4"/>
      <c r="F88" s="4"/>
      <c r="G88" s="4"/>
      <c r="H88" s="6"/>
      <c r="I88" s="4"/>
      <c r="J88" s="4"/>
      <c r="K88" s="4"/>
    </row>
    <row r="89" spans="1:11" ht="14.25" customHeight="1" x14ac:dyDescent="0.3">
      <c r="A89" s="3"/>
      <c r="B89" s="4" t="str">
        <f t="shared" si="0"/>
        <v/>
      </c>
      <c r="C89" s="4"/>
      <c r="D89" s="5" t="str">
        <f>IF(C89="","",COUNTIF($C$2:C89,C89))</f>
        <v/>
      </c>
      <c r="E89" s="4"/>
      <c r="F89" s="4"/>
      <c r="G89" s="4"/>
      <c r="H89" s="6"/>
      <c r="I89" s="4"/>
      <c r="J89" s="4"/>
      <c r="K89" s="4"/>
    </row>
    <row r="90" spans="1:11" ht="14.25" customHeight="1" x14ac:dyDescent="0.3">
      <c r="A90" s="3"/>
      <c r="B90" s="4" t="str">
        <f t="shared" si="0"/>
        <v/>
      </c>
      <c r="C90" s="4"/>
      <c r="D90" s="5" t="str">
        <f>IF(C90="","",COUNTIF($C$2:C90,C90))</f>
        <v/>
      </c>
      <c r="E90" s="4"/>
      <c r="F90" s="4"/>
      <c r="G90" s="4"/>
      <c r="H90" s="6"/>
      <c r="I90" s="4"/>
      <c r="J90" s="4"/>
      <c r="K90" s="4"/>
    </row>
    <row r="91" spans="1:11" ht="14.25" customHeight="1" x14ac:dyDescent="0.3">
      <c r="A91" s="3"/>
      <c r="B91" s="4" t="str">
        <f t="shared" si="0"/>
        <v/>
      </c>
      <c r="C91" s="4"/>
      <c r="D91" s="5" t="str">
        <f>IF(C91="","",COUNTIF($C$2:C91,C91))</f>
        <v/>
      </c>
      <c r="E91" s="4"/>
      <c r="F91" s="4"/>
      <c r="G91" s="4"/>
      <c r="H91" s="6"/>
      <c r="I91" s="4"/>
      <c r="J91" s="4"/>
      <c r="K91" s="4"/>
    </row>
    <row r="92" spans="1:11" ht="14.25" customHeight="1" x14ac:dyDescent="0.3">
      <c r="A92" s="3"/>
      <c r="B92" s="4" t="str">
        <f t="shared" si="0"/>
        <v/>
      </c>
      <c r="C92" s="4"/>
      <c r="D92" s="5" t="str">
        <f>IF(C92="","",COUNTIF($C$2:C92,C92))</f>
        <v/>
      </c>
      <c r="E92" s="4"/>
      <c r="F92" s="4"/>
      <c r="G92" s="4"/>
      <c r="H92" s="6"/>
      <c r="I92" s="4"/>
      <c r="J92" s="4"/>
      <c r="K92" s="4"/>
    </row>
    <row r="93" spans="1:11" ht="14.25" customHeight="1" x14ac:dyDescent="0.3">
      <c r="A93" s="3"/>
      <c r="B93" s="4" t="str">
        <f t="shared" si="0"/>
        <v/>
      </c>
      <c r="C93" s="4"/>
      <c r="D93" s="5" t="str">
        <f>IF(C93="","",COUNTIF($C$2:C93,C93))</f>
        <v/>
      </c>
      <c r="E93" s="4"/>
      <c r="F93" s="4"/>
      <c r="G93" s="4"/>
      <c r="H93" s="6"/>
      <c r="I93" s="4"/>
      <c r="J93" s="4"/>
      <c r="K93" s="4"/>
    </row>
    <row r="94" spans="1:11" ht="14.25" customHeight="1" x14ac:dyDescent="0.3">
      <c r="A94" s="3"/>
      <c r="B94" s="4" t="str">
        <f t="shared" ref="B94:B157" si="1">IF(A94="","",TEXT(A94,"dddd"))</f>
        <v/>
      </c>
      <c r="C94" s="4"/>
      <c r="D94" s="5" t="str">
        <f>IF(C94="","",COUNTIF($C$2:C94,C94))</f>
        <v/>
      </c>
      <c r="E94" s="4"/>
      <c r="F94" s="4"/>
      <c r="G94" s="4"/>
      <c r="H94" s="6"/>
      <c r="I94" s="4"/>
      <c r="J94" s="4"/>
      <c r="K94" s="4"/>
    </row>
    <row r="95" spans="1:11" ht="14.25" customHeight="1" x14ac:dyDescent="0.3">
      <c r="A95" s="3"/>
      <c r="B95" s="4" t="str">
        <f t="shared" si="1"/>
        <v/>
      </c>
      <c r="C95" s="4"/>
      <c r="D95" s="5" t="str">
        <f>IF(C95="","",COUNTIF($C$2:C95,C95))</f>
        <v/>
      </c>
      <c r="E95" s="4"/>
      <c r="F95" s="4"/>
      <c r="G95" s="4"/>
      <c r="H95" s="6"/>
      <c r="I95" s="4"/>
      <c r="J95" s="4"/>
      <c r="K95" s="4"/>
    </row>
    <row r="96" spans="1:11" ht="14.25" customHeight="1" x14ac:dyDescent="0.3">
      <c r="A96" s="3"/>
      <c r="B96" s="4" t="str">
        <f t="shared" si="1"/>
        <v/>
      </c>
      <c r="C96" s="4"/>
      <c r="D96" s="5" t="str">
        <f>IF(C96="","",COUNTIF($C$2:C96,C96))</f>
        <v/>
      </c>
      <c r="E96" s="4"/>
      <c r="F96" s="4"/>
      <c r="G96" s="4"/>
      <c r="H96" s="6"/>
      <c r="I96" s="4"/>
      <c r="J96" s="4"/>
      <c r="K96" s="4"/>
    </row>
    <row r="97" spans="1:11" ht="14.25" customHeight="1" x14ac:dyDescent="0.3">
      <c r="A97" s="3"/>
      <c r="B97" s="4" t="str">
        <f t="shared" si="1"/>
        <v/>
      </c>
      <c r="C97" s="4"/>
      <c r="D97" s="5" t="str">
        <f>IF(C97="","",COUNTIF($C$2:C97,C97))</f>
        <v/>
      </c>
      <c r="E97" s="4"/>
      <c r="F97" s="4"/>
      <c r="G97" s="4"/>
      <c r="H97" s="6"/>
      <c r="I97" s="4"/>
      <c r="J97" s="4"/>
      <c r="K97" s="4"/>
    </row>
    <row r="98" spans="1:11" ht="14.25" customHeight="1" x14ac:dyDescent="0.3">
      <c r="A98" s="3"/>
      <c r="B98" s="4" t="str">
        <f t="shared" si="1"/>
        <v/>
      </c>
      <c r="C98" s="4"/>
      <c r="D98" s="5" t="str">
        <f>IF(C98="","",COUNTIF($C$2:C98,C98))</f>
        <v/>
      </c>
      <c r="E98" s="4"/>
      <c r="F98" s="4"/>
      <c r="G98" s="4"/>
      <c r="H98" s="6"/>
      <c r="I98" s="4"/>
      <c r="J98" s="4"/>
      <c r="K98" s="4"/>
    </row>
    <row r="99" spans="1:11" ht="14.25" customHeight="1" x14ac:dyDescent="0.3">
      <c r="A99" s="3"/>
      <c r="B99" s="4" t="str">
        <f t="shared" si="1"/>
        <v/>
      </c>
      <c r="C99" s="4"/>
      <c r="D99" s="5" t="str">
        <f>IF(C99="","",COUNTIF($C$2:C99,C99))</f>
        <v/>
      </c>
      <c r="E99" s="4"/>
      <c r="F99" s="4"/>
      <c r="G99" s="4"/>
      <c r="H99" s="6"/>
      <c r="I99" s="4"/>
      <c r="J99" s="4"/>
      <c r="K99" s="4"/>
    </row>
    <row r="100" spans="1:11" ht="14.25" customHeight="1" x14ac:dyDescent="0.3">
      <c r="A100" s="3"/>
      <c r="B100" s="4" t="str">
        <f t="shared" si="1"/>
        <v/>
      </c>
      <c r="C100" s="4"/>
      <c r="D100" s="5" t="str">
        <f>IF(C100="","",COUNTIF($C$2:C100,C100))</f>
        <v/>
      </c>
      <c r="E100" s="4"/>
      <c r="F100" s="4"/>
      <c r="G100" s="4"/>
      <c r="H100" s="6"/>
      <c r="I100" s="4"/>
      <c r="J100" s="4"/>
      <c r="K100" s="4"/>
    </row>
    <row r="101" spans="1:11" ht="14.25" customHeight="1" x14ac:dyDescent="0.3">
      <c r="A101" s="3"/>
      <c r="B101" s="4" t="str">
        <f t="shared" si="1"/>
        <v/>
      </c>
      <c r="C101" s="4"/>
      <c r="D101" s="5" t="str">
        <f>IF(C101="","",COUNTIF($C$2:C101,C101))</f>
        <v/>
      </c>
      <c r="E101" s="4"/>
      <c r="F101" s="4"/>
      <c r="G101" s="4"/>
      <c r="H101" s="6"/>
      <c r="I101" s="4"/>
      <c r="J101" s="4"/>
      <c r="K101" s="4"/>
    </row>
    <row r="102" spans="1:11" ht="14.25" customHeight="1" x14ac:dyDescent="0.3">
      <c r="A102" s="3"/>
      <c r="B102" s="4" t="str">
        <f t="shared" si="1"/>
        <v/>
      </c>
      <c r="C102" s="4"/>
      <c r="D102" s="5" t="str">
        <f>IF(C102="","",COUNTIF($C$2:C102,C102))</f>
        <v/>
      </c>
      <c r="E102" s="4"/>
      <c r="F102" s="4"/>
      <c r="G102" s="4"/>
      <c r="H102" s="6"/>
      <c r="I102" s="4"/>
      <c r="J102" s="4"/>
      <c r="K102" s="4"/>
    </row>
    <row r="103" spans="1:11" ht="14.25" customHeight="1" x14ac:dyDescent="0.3">
      <c r="A103" s="3"/>
      <c r="B103" s="4" t="str">
        <f t="shared" si="1"/>
        <v/>
      </c>
      <c r="C103" s="4"/>
      <c r="D103" s="5" t="str">
        <f>IF(C103="","",COUNTIF($C$2:C103,C103))</f>
        <v/>
      </c>
      <c r="E103" s="4"/>
      <c r="F103" s="4"/>
      <c r="G103" s="4"/>
      <c r="H103" s="6"/>
      <c r="I103" s="4"/>
      <c r="J103" s="4"/>
      <c r="K103" s="4"/>
    </row>
    <row r="104" spans="1:11" ht="14.25" customHeight="1" x14ac:dyDescent="0.3">
      <c r="A104" s="3"/>
      <c r="B104" s="4" t="str">
        <f t="shared" si="1"/>
        <v/>
      </c>
      <c r="C104" s="4"/>
      <c r="D104" s="5" t="str">
        <f>IF(C104="","",COUNTIF($C$2:C104,C104))</f>
        <v/>
      </c>
      <c r="E104" s="4"/>
      <c r="F104" s="4"/>
      <c r="G104" s="4"/>
      <c r="H104" s="6"/>
      <c r="I104" s="4"/>
      <c r="J104" s="4"/>
      <c r="K104" s="4"/>
    </row>
    <row r="105" spans="1:11" ht="14.25" customHeight="1" x14ac:dyDescent="0.3">
      <c r="A105" s="3"/>
      <c r="B105" s="4" t="str">
        <f t="shared" si="1"/>
        <v/>
      </c>
      <c r="C105" s="4"/>
      <c r="D105" s="5" t="str">
        <f>IF(C105="","",COUNTIF($C$2:C105,C105))</f>
        <v/>
      </c>
      <c r="E105" s="4"/>
      <c r="F105" s="4"/>
      <c r="G105" s="4"/>
      <c r="H105" s="6"/>
      <c r="I105" s="4"/>
      <c r="J105" s="4"/>
      <c r="K105" s="4"/>
    </row>
    <row r="106" spans="1:11" ht="14.25" customHeight="1" x14ac:dyDescent="0.3">
      <c r="A106" s="3"/>
      <c r="B106" s="4" t="str">
        <f t="shared" si="1"/>
        <v/>
      </c>
      <c r="C106" s="4"/>
      <c r="D106" s="5" t="str">
        <f>IF(C106="","",COUNTIF($C$2:C106,C106))</f>
        <v/>
      </c>
      <c r="E106" s="4"/>
      <c r="F106" s="4"/>
      <c r="G106" s="4"/>
      <c r="H106" s="6"/>
      <c r="I106" s="4"/>
      <c r="J106" s="4"/>
      <c r="K106" s="4"/>
    </row>
    <row r="107" spans="1:11" ht="14.25" customHeight="1" x14ac:dyDescent="0.3">
      <c r="A107" s="3"/>
      <c r="B107" s="4" t="str">
        <f t="shared" si="1"/>
        <v/>
      </c>
      <c r="C107" s="4"/>
      <c r="D107" s="5" t="str">
        <f>IF(C107="","",COUNTIF($C$2:C107,C107))</f>
        <v/>
      </c>
      <c r="E107" s="4"/>
      <c r="F107" s="4"/>
      <c r="G107" s="4"/>
      <c r="H107" s="6"/>
      <c r="I107" s="4"/>
      <c r="J107" s="4"/>
      <c r="K107" s="4"/>
    </row>
    <row r="108" spans="1:11" ht="14.25" customHeight="1" x14ac:dyDescent="0.3">
      <c r="A108" s="3"/>
      <c r="B108" s="4" t="str">
        <f t="shared" si="1"/>
        <v/>
      </c>
      <c r="C108" s="4"/>
      <c r="D108" s="5" t="str">
        <f>IF(C108="","",COUNTIF($C$2:C108,C108))</f>
        <v/>
      </c>
      <c r="E108" s="4"/>
      <c r="F108" s="4"/>
      <c r="G108" s="4"/>
      <c r="H108" s="6"/>
      <c r="I108" s="4"/>
      <c r="J108" s="4"/>
      <c r="K108" s="4"/>
    </row>
    <row r="109" spans="1:11" ht="14.25" customHeight="1" x14ac:dyDescent="0.3">
      <c r="A109" s="3"/>
      <c r="B109" s="4" t="str">
        <f t="shared" si="1"/>
        <v/>
      </c>
      <c r="C109" s="4"/>
      <c r="D109" s="5" t="str">
        <f>IF(C109="","",COUNTIF($C$2:C109,C109))</f>
        <v/>
      </c>
      <c r="E109" s="4"/>
      <c r="F109" s="4"/>
      <c r="G109" s="4"/>
      <c r="H109" s="6"/>
      <c r="I109" s="4"/>
      <c r="J109" s="4"/>
      <c r="K109" s="4"/>
    </row>
    <row r="110" spans="1:11" ht="14.25" customHeight="1" x14ac:dyDescent="0.3">
      <c r="A110" s="3"/>
      <c r="B110" s="4" t="str">
        <f t="shared" si="1"/>
        <v/>
      </c>
      <c r="C110" s="4"/>
      <c r="D110" s="5" t="str">
        <f>IF(C110="","",COUNTIF($C$2:C110,C110))</f>
        <v/>
      </c>
      <c r="E110" s="4"/>
      <c r="F110" s="4"/>
      <c r="G110" s="4"/>
      <c r="H110" s="6"/>
      <c r="I110" s="4"/>
      <c r="J110" s="4"/>
      <c r="K110" s="4"/>
    </row>
    <row r="111" spans="1:11" ht="14.25" customHeight="1" x14ac:dyDescent="0.3">
      <c r="A111" s="3"/>
      <c r="B111" s="4" t="str">
        <f t="shared" si="1"/>
        <v/>
      </c>
      <c r="C111" s="4"/>
      <c r="D111" s="5" t="str">
        <f>IF(C111="","",COUNTIF($C$2:C111,C111))</f>
        <v/>
      </c>
      <c r="E111" s="4"/>
      <c r="F111" s="4"/>
      <c r="G111" s="4"/>
      <c r="H111" s="6"/>
      <c r="I111" s="4"/>
      <c r="J111" s="4"/>
      <c r="K111" s="4"/>
    </row>
    <row r="112" spans="1:11" ht="14.25" customHeight="1" x14ac:dyDescent="0.3">
      <c r="A112" s="3"/>
      <c r="B112" s="4" t="str">
        <f t="shared" si="1"/>
        <v/>
      </c>
      <c r="C112" s="4"/>
      <c r="D112" s="5" t="str">
        <f>IF(C112="","",COUNTIF($C$2:C112,C112))</f>
        <v/>
      </c>
      <c r="E112" s="4"/>
      <c r="F112" s="4"/>
      <c r="G112" s="4"/>
      <c r="H112" s="6"/>
      <c r="I112" s="4"/>
      <c r="J112" s="4"/>
      <c r="K112" s="4"/>
    </row>
    <row r="113" spans="1:11" ht="14.25" customHeight="1" x14ac:dyDescent="0.3">
      <c r="A113" s="3"/>
      <c r="B113" s="4" t="str">
        <f t="shared" si="1"/>
        <v/>
      </c>
      <c r="C113" s="4"/>
      <c r="D113" s="5" t="str">
        <f>IF(C113="","",COUNTIF($C$2:C113,C113))</f>
        <v/>
      </c>
      <c r="E113" s="4"/>
      <c r="F113" s="4"/>
      <c r="G113" s="4"/>
      <c r="H113" s="6"/>
      <c r="I113" s="4"/>
      <c r="J113" s="4"/>
      <c r="K113" s="4"/>
    </row>
    <row r="114" spans="1:11" ht="14.25" customHeight="1" x14ac:dyDescent="0.3">
      <c r="A114" s="3"/>
      <c r="B114" s="4" t="str">
        <f t="shared" si="1"/>
        <v/>
      </c>
      <c r="C114" s="4"/>
      <c r="D114" s="5" t="str">
        <f>IF(C114="","",COUNTIF($C$2:C114,C114))</f>
        <v/>
      </c>
      <c r="E114" s="4"/>
      <c r="F114" s="4"/>
      <c r="G114" s="4"/>
      <c r="H114" s="6"/>
      <c r="I114" s="4"/>
      <c r="J114" s="4"/>
      <c r="K114" s="4"/>
    </row>
    <row r="115" spans="1:11" ht="14.25" customHeight="1" x14ac:dyDescent="0.3">
      <c r="A115" s="3"/>
      <c r="B115" s="4" t="str">
        <f t="shared" si="1"/>
        <v/>
      </c>
      <c r="C115" s="4"/>
      <c r="D115" s="5" t="str">
        <f>IF(C115="","",COUNTIF($C$2:C115,C115))</f>
        <v/>
      </c>
      <c r="E115" s="4"/>
      <c r="F115" s="4"/>
      <c r="G115" s="4"/>
      <c r="H115" s="6"/>
      <c r="I115" s="4"/>
      <c r="J115" s="4"/>
      <c r="K115" s="4"/>
    </row>
    <row r="116" spans="1:11" ht="14.25" customHeight="1" x14ac:dyDescent="0.3">
      <c r="A116" s="3"/>
      <c r="B116" s="4" t="str">
        <f t="shared" si="1"/>
        <v/>
      </c>
      <c r="C116" s="4"/>
      <c r="D116" s="5" t="str">
        <f>IF(C116="","",COUNTIF($C$2:C116,C116))</f>
        <v/>
      </c>
      <c r="E116" s="4"/>
      <c r="F116" s="4"/>
      <c r="G116" s="4"/>
      <c r="H116" s="6"/>
      <c r="I116" s="4"/>
      <c r="J116" s="4"/>
      <c r="K116" s="4"/>
    </row>
    <row r="117" spans="1:11" ht="14.25" customHeight="1" x14ac:dyDescent="0.3">
      <c r="A117" s="3"/>
      <c r="B117" s="4" t="str">
        <f t="shared" si="1"/>
        <v/>
      </c>
      <c r="C117" s="4"/>
      <c r="D117" s="5" t="str">
        <f>IF(C117="","",COUNTIF($C$2:C117,C117))</f>
        <v/>
      </c>
      <c r="E117" s="4"/>
      <c r="F117" s="4"/>
      <c r="G117" s="4"/>
      <c r="H117" s="6"/>
      <c r="I117" s="4"/>
      <c r="J117" s="4"/>
      <c r="K117" s="4"/>
    </row>
    <row r="118" spans="1:11" ht="14.25" customHeight="1" x14ac:dyDescent="0.3">
      <c r="A118" s="3"/>
      <c r="B118" s="4" t="str">
        <f t="shared" si="1"/>
        <v/>
      </c>
      <c r="C118" s="4"/>
      <c r="D118" s="5" t="str">
        <f>IF(C118="","",COUNTIF($C$2:C118,C118))</f>
        <v/>
      </c>
      <c r="E118" s="4"/>
      <c r="F118" s="4"/>
      <c r="G118" s="4"/>
      <c r="H118" s="6"/>
      <c r="I118" s="4"/>
      <c r="J118" s="4"/>
      <c r="K118" s="4"/>
    </row>
    <row r="119" spans="1:11" ht="14.25" customHeight="1" x14ac:dyDescent="0.3">
      <c r="A119" s="3"/>
      <c r="B119" s="4" t="str">
        <f t="shared" si="1"/>
        <v/>
      </c>
      <c r="C119" s="4"/>
      <c r="D119" s="5" t="str">
        <f>IF(C119="","",COUNTIF($C$2:C119,C119))</f>
        <v/>
      </c>
      <c r="E119" s="4"/>
      <c r="F119" s="4"/>
      <c r="G119" s="4"/>
      <c r="H119" s="6"/>
      <c r="I119" s="4"/>
      <c r="J119" s="4"/>
      <c r="K119" s="4"/>
    </row>
    <row r="120" spans="1:11" ht="14.25" customHeight="1" x14ac:dyDescent="0.3">
      <c r="A120" s="3"/>
      <c r="B120" s="4" t="str">
        <f t="shared" si="1"/>
        <v/>
      </c>
      <c r="C120" s="4"/>
      <c r="D120" s="5" t="str">
        <f>IF(C120="","",COUNTIF($C$2:C120,C120))</f>
        <v/>
      </c>
      <c r="E120" s="4"/>
      <c r="F120" s="4"/>
      <c r="G120" s="4"/>
      <c r="H120" s="6"/>
      <c r="I120" s="4"/>
      <c r="J120" s="4"/>
      <c r="K120" s="4"/>
    </row>
    <row r="121" spans="1:11" ht="14.25" customHeight="1" x14ac:dyDescent="0.3">
      <c r="A121" s="3"/>
      <c r="B121" s="4" t="str">
        <f t="shared" si="1"/>
        <v/>
      </c>
      <c r="C121" s="4"/>
      <c r="D121" s="5" t="str">
        <f>IF(C121="","",COUNTIF($C$2:C121,C121))</f>
        <v/>
      </c>
      <c r="E121" s="4"/>
      <c r="F121" s="4"/>
      <c r="G121" s="4"/>
      <c r="H121" s="6"/>
      <c r="I121" s="4"/>
      <c r="J121" s="4"/>
      <c r="K121" s="4"/>
    </row>
    <row r="122" spans="1:11" ht="14.25" customHeight="1" x14ac:dyDescent="0.3">
      <c r="A122" s="3"/>
      <c r="B122" s="4" t="str">
        <f t="shared" si="1"/>
        <v/>
      </c>
      <c r="C122" s="4"/>
      <c r="D122" s="5" t="str">
        <f>IF(C122="","",COUNTIF($C$2:C122,C122))</f>
        <v/>
      </c>
      <c r="E122" s="4"/>
      <c r="F122" s="4"/>
      <c r="G122" s="4"/>
      <c r="H122" s="6"/>
      <c r="I122" s="4"/>
      <c r="J122" s="4"/>
      <c r="K122" s="4"/>
    </row>
    <row r="123" spans="1:11" ht="14.25" customHeight="1" x14ac:dyDescent="0.3">
      <c r="A123" s="3"/>
      <c r="B123" s="4" t="str">
        <f t="shared" si="1"/>
        <v/>
      </c>
      <c r="C123" s="4"/>
      <c r="D123" s="5" t="str">
        <f>IF(C123="","",COUNTIF($C$2:C123,C123))</f>
        <v/>
      </c>
      <c r="E123" s="4"/>
      <c r="F123" s="4"/>
      <c r="G123" s="4"/>
      <c r="H123" s="6"/>
      <c r="I123" s="4"/>
      <c r="J123" s="4"/>
      <c r="K123" s="4"/>
    </row>
    <row r="124" spans="1:11" ht="14.25" customHeight="1" x14ac:dyDescent="0.3">
      <c r="A124" s="3"/>
      <c r="B124" s="4" t="str">
        <f t="shared" si="1"/>
        <v/>
      </c>
      <c r="C124" s="4"/>
      <c r="D124" s="5" t="str">
        <f>IF(C124="","",COUNTIF($C$2:C124,C124))</f>
        <v/>
      </c>
      <c r="E124" s="4"/>
      <c r="F124" s="4"/>
      <c r="G124" s="4"/>
      <c r="H124" s="6"/>
      <c r="I124" s="4"/>
      <c r="J124" s="4"/>
      <c r="K124" s="4"/>
    </row>
    <row r="125" spans="1:11" ht="14.25" customHeight="1" x14ac:dyDescent="0.3">
      <c r="A125" s="3"/>
      <c r="B125" s="4" t="str">
        <f t="shared" si="1"/>
        <v/>
      </c>
      <c r="C125" s="4"/>
      <c r="D125" s="5" t="str">
        <f>IF(C125="","",COUNTIF($C$2:C125,C125))</f>
        <v/>
      </c>
      <c r="E125" s="4"/>
      <c r="F125" s="4"/>
      <c r="G125" s="4"/>
      <c r="H125" s="6"/>
      <c r="I125" s="4"/>
      <c r="J125" s="4"/>
      <c r="K125" s="4"/>
    </row>
    <row r="126" spans="1:11" ht="14.25" customHeight="1" x14ac:dyDescent="0.3">
      <c r="A126" s="3"/>
      <c r="B126" s="4" t="str">
        <f t="shared" si="1"/>
        <v/>
      </c>
      <c r="C126" s="4"/>
      <c r="D126" s="5" t="str">
        <f>IF(C126="","",COUNTIF($C$2:C126,C126))</f>
        <v/>
      </c>
      <c r="E126" s="4"/>
      <c r="F126" s="4"/>
      <c r="G126" s="4"/>
      <c r="H126" s="6"/>
      <c r="I126" s="4"/>
      <c r="J126" s="4"/>
      <c r="K126" s="4"/>
    </row>
    <row r="127" spans="1:11" ht="14.25" customHeight="1" x14ac:dyDescent="0.3">
      <c r="A127" s="3"/>
      <c r="B127" s="4" t="str">
        <f t="shared" si="1"/>
        <v/>
      </c>
      <c r="C127" s="4"/>
      <c r="D127" s="5" t="str">
        <f>IF(C127="","",COUNTIF($C$2:C127,C127))</f>
        <v/>
      </c>
      <c r="E127" s="4"/>
      <c r="F127" s="4"/>
      <c r="G127" s="4"/>
      <c r="H127" s="6"/>
      <c r="I127" s="4"/>
      <c r="J127" s="4"/>
      <c r="K127" s="4"/>
    </row>
    <row r="128" spans="1:11" ht="14.25" customHeight="1" x14ac:dyDescent="0.3">
      <c r="A128" s="3"/>
      <c r="B128" s="4" t="str">
        <f t="shared" si="1"/>
        <v/>
      </c>
      <c r="C128" s="4"/>
      <c r="D128" s="5" t="str">
        <f>IF(C128="","",COUNTIF($C$2:C128,C128))</f>
        <v/>
      </c>
      <c r="E128" s="4"/>
      <c r="F128" s="4"/>
      <c r="G128" s="4"/>
      <c r="H128" s="6"/>
      <c r="I128" s="4"/>
      <c r="J128" s="4"/>
      <c r="K128" s="4"/>
    </row>
    <row r="129" spans="1:11" ht="14.25" customHeight="1" x14ac:dyDescent="0.3">
      <c r="A129" s="3"/>
      <c r="B129" s="4" t="str">
        <f t="shared" si="1"/>
        <v/>
      </c>
      <c r="C129" s="4"/>
      <c r="D129" s="5" t="str">
        <f>IF(C129="","",COUNTIF($C$2:C129,C129))</f>
        <v/>
      </c>
      <c r="E129" s="4"/>
      <c r="F129" s="4"/>
      <c r="G129" s="4"/>
      <c r="H129" s="6"/>
      <c r="I129" s="4"/>
      <c r="J129" s="4"/>
      <c r="K129" s="4"/>
    </row>
    <row r="130" spans="1:11" ht="14.25" customHeight="1" x14ac:dyDescent="0.3">
      <c r="A130" s="3"/>
      <c r="B130" s="4" t="str">
        <f t="shared" si="1"/>
        <v/>
      </c>
      <c r="C130" s="4"/>
      <c r="D130" s="5" t="str">
        <f>IF(C130="","",COUNTIF($C$2:C130,C130))</f>
        <v/>
      </c>
      <c r="E130" s="4"/>
      <c r="F130" s="4"/>
      <c r="G130" s="4"/>
      <c r="H130" s="6"/>
      <c r="I130" s="4"/>
      <c r="J130" s="4"/>
      <c r="K130" s="4"/>
    </row>
    <row r="131" spans="1:11" ht="14.25" customHeight="1" x14ac:dyDescent="0.3">
      <c r="A131" s="3"/>
      <c r="B131" s="4" t="str">
        <f t="shared" si="1"/>
        <v/>
      </c>
      <c r="C131" s="4"/>
      <c r="D131" s="5" t="str">
        <f>IF(C131="","",COUNTIF($C$2:C131,C131))</f>
        <v/>
      </c>
      <c r="E131" s="4"/>
      <c r="F131" s="4"/>
      <c r="G131" s="4"/>
      <c r="H131" s="6"/>
      <c r="I131" s="4"/>
      <c r="J131" s="4"/>
      <c r="K131" s="4"/>
    </row>
    <row r="132" spans="1:11" ht="14.25" customHeight="1" x14ac:dyDescent="0.3">
      <c r="A132" s="3"/>
      <c r="B132" s="4" t="str">
        <f t="shared" si="1"/>
        <v/>
      </c>
      <c r="C132" s="4"/>
      <c r="D132" s="5" t="str">
        <f>IF(C132="","",COUNTIF($C$2:C132,C132))</f>
        <v/>
      </c>
      <c r="E132" s="4"/>
      <c r="F132" s="4"/>
      <c r="G132" s="4"/>
      <c r="H132" s="6"/>
      <c r="I132" s="4"/>
      <c r="J132" s="4"/>
      <c r="K132" s="4"/>
    </row>
    <row r="133" spans="1:11" ht="14.25" customHeight="1" x14ac:dyDescent="0.3">
      <c r="A133" s="3"/>
      <c r="B133" s="4" t="str">
        <f t="shared" si="1"/>
        <v/>
      </c>
      <c r="C133" s="4"/>
      <c r="D133" s="5" t="str">
        <f>IF(C133="","",COUNTIF($C$2:C133,C133))</f>
        <v/>
      </c>
      <c r="E133" s="4"/>
      <c r="F133" s="4"/>
      <c r="G133" s="4"/>
      <c r="H133" s="6"/>
      <c r="I133" s="4"/>
      <c r="J133" s="4"/>
      <c r="K133" s="4"/>
    </row>
    <row r="134" spans="1:11" ht="14.25" customHeight="1" x14ac:dyDescent="0.3">
      <c r="A134" s="3"/>
      <c r="B134" s="4" t="str">
        <f t="shared" si="1"/>
        <v/>
      </c>
      <c r="C134" s="4"/>
      <c r="D134" s="5" t="str">
        <f>IF(C134="","",COUNTIF($C$2:C134,C134))</f>
        <v/>
      </c>
      <c r="E134" s="4"/>
      <c r="F134" s="4"/>
      <c r="G134" s="4"/>
      <c r="H134" s="6"/>
      <c r="I134" s="4"/>
      <c r="J134" s="4"/>
      <c r="K134" s="4"/>
    </row>
    <row r="135" spans="1:11" ht="14.25" customHeight="1" x14ac:dyDescent="0.3">
      <c r="A135" s="3"/>
      <c r="B135" s="4" t="str">
        <f t="shared" si="1"/>
        <v/>
      </c>
      <c r="C135" s="4"/>
      <c r="D135" s="5" t="str">
        <f>IF(C135="","",COUNTIF($C$2:C135,C135))</f>
        <v/>
      </c>
      <c r="E135" s="4"/>
      <c r="F135" s="4"/>
      <c r="G135" s="4"/>
      <c r="H135" s="6"/>
      <c r="I135" s="4"/>
      <c r="J135" s="4"/>
      <c r="K135" s="4"/>
    </row>
    <row r="136" spans="1:11" ht="14.25" customHeight="1" x14ac:dyDescent="0.3">
      <c r="A136" s="3"/>
      <c r="B136" s="4" t="str">
        <f t="shared" si="1"/>
        <v/>
      </c>
      <c r="C136" s="4"/>
      <c r="D136" s="5" t="str">
        <f>IF(C136="","",COUNTIF($C$2:C136,C136))</f>
        <v/>
      </c>
      <c r="E136" s="4"/>
      <c r="F136" s="4"/>
      <c r="G136" s="4"/>
      <c r="H136" s="6"/>
      <c r="I136" s="4"/>
      <c r="J136" s="4"/>
      <c r="K136" s="4"/>
    </row>
    <row r="137" spans="1:11" ht="14.25" customHeight="1" x14ac:dyDescent="0.3">
      <c r="A137" s="3"/>
      <c r="B137" s="4" t="str">
        <f t="shared" si="1"/>
        <v/>
      </c>
      <c r="C137" s="4"/>
      <c r="D137" s="5" t="str">
        <f>IF(C137="","",COUNTIF($C$2:C137,C137))</f>
        <v/>
      </c>
      <c r="E137" s="4"/>
      <c r="F137" s="4"/>
      <c r="G137" s="4"/>
      <c r="H137" s="6"/>
      <c r="I137" s="4"/>
      <c r="J137" s="4"/>
      <c r="K137" s="4"/>
    </row>
    <row r="138" spans="1:11" ht="14.25" customHeight="1" x14ac:dyDescent="0.3">
      <c r="A138" s="3"/>
      <c r="B138" s="4" t="str">
        <f t="shared" si="1"/>
        <v/>
      </c>
      <c r="C138" s="4"/>
      <c r="D138" s="5" t="str">
        <f>IF(C138="","",COUNTIF($C$2:C138,C138))</f>
        <v/>
      </c>
      <c r="E138" s="4"/>
      <c r="F138" s="4"/>
      <c r="G138" s="4"/>
      <c r="H138" s="6"/>
      <c r="I138" s="4"/>
      <c r="J138" s="4"/>
      <c r="K138" s="4"/>
    </row>
    <row r="139" spans="1:11" ht="14.25" customHeight="1" x14ac:dyDescent="0.3">
      <c r="A139" s="3"/>
      <c r="B139" s="4" t="str">
        <f t="shared" si="1"/>
        <v/>
      </c>
      <c r="C139" s="4"/>
      <c r="D139" s="5" t="str">
        <f>IF(C139="","",COUNTIF($C$2:C139,C139))</f>
        <v/>
      </c>
      <c r="E139" s="4"/>
      <c r="F139" s="4"/>
      <c r="G139" s="4"/>
      <c r="H139" s="6"/>
      <c r="I139" s="4"/>
      <c r="J139" s="4"/>
      <c r="K139" s="4"/>
    </row>
    <row r="140" spans="1:11" ht="14.25" customHeight="1" x14ac:dyDescent="0.3">
      <c r="A140" s="3"/>
      <c r="B140" s="4" t="str">
        <f t="shared" si="1"/>
        <v/>
      </c>
      <c r="C140" s="4"/>
      <c r="D140" s="5" t="str">
        <f>IF(C140="","",COUNTIF($C$2:C140,C140))</f>
        <v/>
      </c>
      <c r="E140" s="4"/>
      <c r="F140" s="4"/>
      <c r="G140" s="4"/>
      <c r="H140" s="6"/>
      <c r="I140" s="4"/>
      <c r="J140" s="4"/>
      <c r="K140" s="4"/>
    </row>
    <row r="141" spans="1:11" ht="14.25" customHeight="1" x14ac:dyDescent="0.3">
      <c r="A141" s="3"/>
      <c r="B141" s="4" t="str">
        <f t="shared" si="1"/>
        <v/>
      </c>
      <c r="C141" s="4"/>
      <c r="D141" s="5" t="str">
        <f>IF(C141="","",COUNTIF($C$2:C141,C141))</f>
        <v/>
      </c>
      <c r="E141" s="4"/>
      <c r="F141" s="4"/>
      <c r="G141" s="4"/>
      <c r="H141" s="6"/>
      <c r="I141" s="4"/>
      <c r="J141" s="4"/>
      <c r="K141" s="4"/>
    </row>
    <row r="142" spans="1:11" ht="14.25" customHeight="1" x14ac:dyDescent="0.3">
      <c r="A142" s="3"/>
      <c r="B142" s="4" t="str">
        <f t="shared" si="1"/>
        <v/>
      </c>
      <c r="C142" s="4"/>
      <c r="D142" s="5" t="str">
        <f>IF(C142="","",COUNTIF($C$2:C142,C142))</f>
        <v/>
      </c>
      <c r="E142" s="4"/>
      <c r="F142" s="4"/>
      <c r="G142" s="4"/>
      <c r="H142" s="6"/>
      <c r="I142" s="4"/>
      <c r="J142" s="4"/>
      <c r="K142" s="4"/>
    </row>
    <row r="143" spans="1:11" ht="14.25" customHeight="1" x14ac:dyDescent="0.3">
      <c r="A143" s="3"/>
      <c r="B143" s="4" t="str">
        <f t="shared" si="1"/>
        <v/>
      </c>
      <c r="C143" s="4"/>
      <c r="D143" s="5" t="str">
        <f>IF(C143="","",COUNTIF($C$2:C143,C143))</f>
        <v/>
      </c>
      <c r="E143" s="4"/>
      <c r="F143" s="4"/>
      <c r="G143" s="4"/>
      <c r="H143" s="6"/>
      <c r="I143" s="4"/>
      <c r="J143" s="4"/>
      <c r="K143" s="4"/>
    </row>
    <row r="144" spans="1:11" ht="14.25" customHeight="1" x14ac:dyDescent="0.3">
      <c r="A144" s="3"/>
      <c r="B144" s="4" t="str">
        <f t="shared" si="1"/>
        <v/>
      </c>
      <c r="C144" s="4"/>
      <c r="D144" s="5" t="str">
        <f>IF(C144="","",COUNTIF($C$2:C144,C144))</f>
        <v/>
      </c>
      <c r="E144" s="4"/>
      <c r="F144" s="4"/>
      <c r="G144" s="4"/>
      <c r="H144" s="6"/>
      <c r="I144" s="4"/>
      <c r="J144" s="4"/>
      <c r="K144" s="4"/>
    </row>
    <row r="145" spans="1:11" ht="14.25" customHeight="1" x14ac:dyDescent="0.3">
      <c r="A145" s="3"/>
      <c r="B145" s="4" t="str">
        <f t="shared" si="1"/>
        <v/>
      </c>
      <c r="C145" s="4"/>
      <c r="D145" s="5" t="str">
        <f>IF(C145="","",COUNTIF($C$2:C145,C145))</f>
        <v/>
      </c>
      <c r="E145" s="4"/>
      <c r="F145" s="4"/>
      <c r="G145" s="4"/>
      <c r="H145" s="6"/>
      <c r="I145" s="4"/>
      <c r="J145" s="4"/>
      <c r="K145" s="4"/>
    </row>
    <row r="146" spans="1:11" ht="14.25" customHeight="1" x14ac:dyDescent="0.3">
      <c r="A146" s="3"/>
      <c r="B146" s="4" t="str">
        <f t="shared" si="1"/>
        <v/>
      </c>
      <c r="C146" s="4"/>
      <c r="D146" s="5" t="str">
        <f>IF(C146="","",COUNTIF($C$2:C146,C146))</f>
        <v/>
      </c>
      <c r="E146" s="4"/>
      <c r="F146" s="4"/>
      <c r="G146" s="4"/>
      <c r="H146" s="6"/>
      <c r="I146" s="4"/>
      <c r="J146" s="4"/>
      <c r="K146" s="4"/>
    </row>
    <row r="147" spans="1:11" ht="14.25" customHeight="1" x14ac:dyDescent="0.3">
      <c r="A147" s="3"/>
      <c r="B147" s="4" t="str">
        <f t="shared" si="1"/>
        <v/>
      </c>
      <c r="C147" s="4"/>
      <c r="D147" s="5" t="str">
        <f>IF(C147="","",COUNTIF($C$2:C147,C147))</f>
        <v/>
      </c>
      <c r="E147" s="4"/>
      <c r="F147" s="4"/>
      <c r="G147" s="4"/>
      <c r="H147" s="6"/>
      <c r="I147" s="4"/>
      <c r="J147" s="4"/>
      <c r="K147" s="4"/>
    </row>
    <row r="148" spans="1:11" ht="14.25" customHeight="1" x14ac:dyDescent="0.3">
      <c r="A148" s="3"/>
      <c r="B148" s="4" t="str">
        <f t="shared" si="1"/>
        <v/>
      </c>
      <c r="C148" s="4"/>
      <c r="D148" s="5" t="str">
        <f>IF(C148="","",COUNTIF($C$2:C148,C148))</f>
        <v/>
      </c>
      <c r="E148" s="4"/>
      <c r="F148" s="4"/>
      <c r="G148" s="4"/>
      <c r="H148" s="6"/>
      <c r="I148" s="4"/>
      <c r="J148" s="4"/>
      <c r="K148" s="4"/>
    </row>
    <row r="149" spans="1:11" ht="14.25" customHeight="1" x14ac:dyDescent="0.3">
      <c r="A149" s="3"/>
      <c r="B149" s="4" t="str">
        <f t="shared" si="1"/>
        <v/>
      </c>
      <c r="C149" s="4"/>
      <c r="D149" s="5" t="str">
        <f>IF(C149="","",COUNTIF($C$2:C149,C149))</f>
        <v/>
      </c>
      <c r="E149" s="4"/>
      <c r="F149" s="4"/>
      <c r="G149" s="4"/>
      <c r="H149" s="6"/>
      <c r="I149" s="4"/>
      <c r="J149" s="4"/>
      <c r="K149" s="4"/>
    </row>
    <row r="150" spans="1:11" ht="14.25" customHeight="1" x14ac:dyDescent="0.3">
      <c r="A150" s="3"/>
      <c r="B150" s="4" t="str">
        <f t="shared" si="1"/>
        <v/>
      </c>
      <c r="C150" s="4"/>
      <c r="D150" s="5" t="str">
        <f>IF(C150="","",COUNTIF($C$2:C150,C150))</f>
        <v/>
      </c>
      <c r="E150" s="4"/>
      <c r="F150" s="4"/>
      <c r="G150" s="4"/>
      <c r="H150" s="6"/>
      <c r="I150" s="4"/>
      <c r="J150" s="4"/>
      <c r="K150" s="4"/>
    </row>
    <row r="151" spans="1:11" ht="14.25" customHeight="1" x14ac:dyDescent="0.3">
      <c r="A151" s="3"/>
      <c r="B151" s="4" t="str">
        <f t="shared" si="1"/>
        <v/>
      </c>
      <c r="C151" s="4"/>
      <c r="D151" s="5" t="str">
        <f>IF(C151="","",COUNTIF($C$2:C151,C151))</f>
        <v/>
      </c>
      <c r="E151" s="4"/>
      <c r="F151" s="4"/>
      <c r="G151" s="4"/>
      <c r="H151" s="6"/>
      <c r="I151" s="4"/>
      <c r="J151" s="4"/>
      <c r="K151" s="4"/>
    </row>
    <row r="152" spans="1:11" ht="14.25" customHeight="1" x14ac:dyDescent="0.3">
      <c r="A152" s="3"/>
      <c r="B152" s="4" t="str">
        <f t="shared" si="1"/>
        <v/>
      </c>
      <c r="C152" s="4"/>
      <c r="D152" s="5" t="str">
        <f>IF(C152="","",COUNTIF($C$2:C152,C152))</f>
        <v/>
      </c>
      <c r="E152" s="4"/>
      <c r="F152" s="4"/>
      <c r="G152" s="4"/>
      <c r="H152" s="6"/>
      <c r="I152" s="4"/>
      <c r="J152" s="4"/>
      <c r="K152" s="4"/>
    </row>
    <row r="153" spans="1:11" ht="14.25" customHeight="1" x14ac:dyDescent="0.3">
      <c r="A153" s="3"/>
      <c r="B153" s="4" t="str">
        <f t="shared" si="1"/>
        <v/>
      </c>
      <c r="C153" s="4"/>
      <c r="D153" s="5" t="str">
        <f>IF(C153="","",COUNTIF($C$2:C153,C153))</f>
        <v/>
      </c>
      <c r="E153" s="4"/>
      <c r="F153" s="4"/>
      <c r="G153" s="4"/>
      <c r="H153" s="6"/>
      <c r="I153" s="4"/>
      <c r="J153" s="4"/>
      <c r="K153" s="4"/>
    </row>
    <row r="154" spans="1:11" ht="14.25" customHeight="1" x14ac:dyDescent="0.3">
      <c r="A154" s="3"/>
      <c r="B154" s="4" t="str">
        <f t="shared" si="1"/>
        <v/>
      </c>
      <c r="C154" s="4"/>
      <c r="D154" s="5" t="str">
        <f>IF(C154="","",COUNTIF($C$2:C154,C154))</f>
        <v/>
      </c>
      <c r="E154" s="4"/>
      <c r="F154" s="4"/>
      <c r="G154" s="4"/>
      <c r="H154" s="6"/>
      <c r="I154" s="4"/>
      <c r="J154" s="4"/>
      <c r="K154" s="4"/>
    </row>
    <row r="155" spans="1:11" ht="14.25" customHeight="1" x14ac:dyDescent="0.3">
      <c r="A155" s="3"/>
      <c r="B155" s="4" t="str">
        <f t="shared" si="1"/>
        <v/>
      </c>
      <c r="C155" s="4"/>
      <c r="D155" s="5" t="str">
        <f>IF(C155="","",COUNTIF($C$2:C155,C155))</f>
        <v/>
      </c>
      <c r="E155" s="4"/>
      <c r="F155" s="4"/>
      <c r="G155" s="4"/>
      <c r="H155" s="6"/>
      <c r="I155" s="4"/>
      <c r="J155" s="4"/>
      <c r="K155" s="4"/>
    </row>
    <row r="156" spans="1:11" ht="14.25" customHeight="1" x14ac:dyDescent="0.3">
      <c r="A156" s="3"/>
      <c r="B156" s="4" t="str">
        <f t="shared" si="1"/>
        <v/>
      </c>
      <c r="C156" s="4"/>
      <c r="D156" s="5" t="str">
        <f>IF(C156="","",COUNTIF($C$2:C156,C156))</f>
        <v/>
      </c>
      <c r="E156" s="4"/>
      <c r="F156" s="4"/>
      <c r="G156" s="4"/>
      <c r="H156" s="6"/>
      <c r="I156" s="4"/>
      <c r="J156" s="4"/>
      <c r="K156" s="4"/>
    </row>
    <row r="157" spans="1:11" ht="14.25" customHeight="1" x14ac:dyDescent="0.3">
      <c r="A157" s="3"/>
      <c r="B157" s="4" t="str">
        <f t="shared" si="1"/>
        <v/>
      </c>
      <c r="C157" s="4"/>
      <c r="D157" s="5" t="str">
        <f>IF(C157="","",COUNTIF($C$2:C157,C157))</f>
        <v/>
      </c>
      <c r="E157" s="4"/>
      <c r="F157" s="4"/>
      <c r="G157" s="4"/>
      <c r="H157" s="6"/>
      <c r="I157" s="4"/>
      <c r="J157" s="4"/>
      <c r="K157" s="4"/>
    </row>
    <row r="158" spans="1:11" ht="14.25" customHeight="1" x14ac:dyDescent="0.3">
      <c r="A158" s="3"/>
      <c r="B158" s="4" t="str">
        <f t="shared" ref="B158:B221" si="2">IF(A158="","",TEXT(A158,"dddd"))</f>
        <v/>
      </c>
      <c r="C158" s="4"/>
      <c r="D158" s="5" t="str">
        <f>IF(C158="","",COUNTIF($C$2:C158,C158))</f>
        <v/>
      </c>
      <c r="E158" s="4"/>
      <c r="F158" s="4"/>
      <c r="G158" s="4"/>
      <c r="H158" s="6"/>
      <c r="I158" s="4"/>
      <c r="J158" s="4"/>
      <c r="K158" s="4"/>
    </row>
    <row r="159" spans="1:11" ht="14.25" customHeight="1" x14ac:dyDescent="0.3">
      <c r="A159" s="3"/>
      <c r="B159" s="4" t="str">
        <f t="shared" si="2"/>
        <v/>
      </c>
      <c r="C159" s="4"/>
      <c r="D159" s="5" t="str">
        <f>IF(C159="","",COUNTIF($C$2:C159,C159))</f>
        <v/>
      </c>
      <c r="E159" s="4"/>
      <c r="F159" s="4"/>
      <c r="G159" s="4"/>
      <c r="H159" s="6"/>
      <c r="I159" s="4"/>
      <c r="J159" s="4"/>
      <c r="K159" s="4"/>
    </row>
    <row r="160" spans="1:11" ht="14.25" customHeight="1" x14ac:dyDescent="0.3">
      <c r="A160" s="3"/>
      <c r="B160" s="4" t="str">
        <f t="shared" si="2"/>
        <v/>
      </c>
      <c r="C160" s="4"/>
      <c r="D160" s="5" t="str">
        <f>IF(C160="","",COUNTIF($C$2:C160,C160))</f>
        <v/>
      </c>
      <c r="E160" s="4"/>
      <c r="F160" s="4"/>
      <c r="G160" s="4"/>
      <c r="H160" s="6"/>
      <c r="I160" s="4"/>
      <c r="J160" s="4"/>
      <c r="K160" s="4"/>
    </row>
    <row r="161" spans="1:11" ht="14.25" customHeight="1" x14ac:dyDescent="0.3">
      <c r="A161" s="3"/>
      <c r="B161" s="4" t="str">
        <f t="shared" si="2"/>
        <v/>
      </c>
      <c r="C161" s="4"/>
      <c r="D161" s="5" t="str">
        <f>IF(C161="","",COUNTIF($C$2:C161,C161))</f>
        <v/>
      </c>
      <c r="E161" s="4"/>
      <c r="F161" s="4"/>
      <c r="G161" s="4"/>
      <c r="H161" s="6"/>
      <c r="I161" s="4"/>
      <c r="J161" s="4"/>
      <c r="K161" s="4"/>
    </row>
    <row r="162" spans="1:11" ht="14.25" customHeight="1" x14ac:dyDescent="0.3">
      <c r="A162" s="3"/>
      <c r="B162" s="4" t="str">
        <f t="shared" si="2"/>
        <v/>
      </c>
      <c r="C162" s="4"/>
      <c r="D162" s="5" t="str">
        <f>IF(C162="","",COUNTIF($C$2:C162,C162))</f>
        <v/>
      </c>
      <c r="E162" s="4"/>
      <c r="F162" s="4"/>
      <c r="G162" s="4"/>
      <c r="H162" s="6"/>
      <c r="I162" s="4"/>
      <c r="J162" s="4"/>
      <c r="K162" s="4"/>
    </row>
    <row r="163" spans="1:11" ht="14.25" customHeight="1" x14ac:dyDescent="0.3">
      <c r="A163" s="3"/>
      <c r="B163" s="4" t="str">
        <f t="shared" si="2"/>
        <v/>
      </c>
      <c r="C163" s="4"/>
      <c r="D163" s="5" t="str">
        <f>IF(C163="","",COUNTIF($C$2:C163,C163))</f>
        <v/>
      </c>
      <c r="E163" s="4"/>
      <c r="F163" s="4"/>
      <c r="G163" s="4"/>
      <c r="H163" s="6"/>
      <c r="I163" s="4"/>
      <c r="J163" s="4"/>
      <c r="K163" s="4"/>
    </row>
    <row r="164" spans="1:11" ht="14.25" customHeight="1" x14ac:dyDescent="0.3">
      <c r="A164" s="3"/>
      <c r="B164" s="4" t="str">
        <f t="shared" si="2"/>
        <v/>
      </c>
      <c r="C164" s="4"/>
      <c r="D164" s="5" t="str">
        <f>IF(C164="","",COUNTIF($C$2:C164,C164))</f>
        <v/>
      </c>
      <c r="E164" s="4"/>
      <c r="F164" s="4"/>
      <c r="G164" s="4"/>
      <c r="H164" s="6"/>
      <c r="I164" s="4"/>
      <c r="J164" s="4"/>
      <c r="K164" s="4"/>
    </row>
    <row r="165" spans="1:11" ht="14.25" customHeight="1" x14ac:dyDescent="0.3">
      <c r="A165" s="3"/>
      <c r="B165" s="4" t="str">
        <f t="shared" si="2"/>
        <v/>
      </c>
      <c r="C165" s="4"/>
      <c r="D165" s="5" t="str">
        <f>IF(C165="","",COUNTIF($C$2:C165,C165))</f>
        <v/>
      </c>
      <c r="E165" s="4"/>
      <c r="F165" s="4"/>
      <c r="G165" s="4"/>
      <c r="H165" s="6"/>
      <c r="I165" s="4"/>
      <c r="J165" s="4"/>
      <c r="K165" s="4"/>
    </row>
    <row r="166" spans="1:11" ht="14.25" customHeight="1" x14ac:dyDescent="0.3">
      <c r="A166" s="3"/>
      <c r="B166" s="4" t="str">
        <f t="shared" si="2"/>
        <v/>
      </c>
      <c r="C166" s="4"/>
      <c r="D166" s="5" t="str">
        <f>IF(C166="","",COUNTIF($C$2:C166,C166))</f>
        <v/>
      </c>
      <c r="E166" s="4"/>
      <c r="F166" s="4"/>
      <c r="G166" s="4"/>
      <c r="H166" s="6"/>
      <c r="I166" s="4"/>
      <c r="J166" s="4"/>
      <c r="K166" s="4"/>
    </row>
    <row r="167" spans="1:11" ht="14.25" customHeight="1" x14ac:dyDescent="0.3">
      <c r="A167" s="3"/>
      <c r="B167" s="4" t="str">
        <f t="shared" si="2"/>
        <v/>
      </c>
      <c r="C167" s="4"/>
      <c r="D167" s="5" t="str">
        <f>IF(C167="","",COUNTIF($C$2:C167,C167))</f>
        <v/>
      </c>
      <c r="E167" s="4"/>
      <c r="F167" s="4"/>
      <c r="G167" s="4"/>
      <c r="H167" s="6"/>
      <c r="I167" s="4"/>
      <c r="J167" s="4"/>
      <c r="K167" s="4"/>
    </row>
    <row r="168" spans="1:11" ht="14.25" customHeight="1" x14ac:dyDescent="0.3">
      <c r="A168" s="3"/>
      <c r="B168" s="4" t="str">
        <f t="shared" si="2"/>
        <v/>
      </c>
      <c r="C168" s="4"/>
      <c r="D168" s="5" t="str">
        <f>IF(C168="","",COUNTIF($C$2:C168,C168))</f>
        <v/>
      </c>
      <c r="E168" s="4"/>
      <c r="F168" s="4"/>
      <c r="G168" s="4"/>
      <c r="H168" s="6"/>
      <c r="I168" s="4"/>
      <c r="J168" s="4"/>
      <c r="K168" s="4"/>
    </row>
    <row r="169" spans="1:11" ht="14.25" customHeight="1" x14ac:dyDescent="0.3">
      <c r="A169" s="3"/>
      <c r="B169" s="4" t="str">
        <f t="shared" si="2"/>
        <v/>
      </c>
      <c r="C169" s="4"/>
      <c r="D169" s="5" t="str">
        <f>IF(C169="","",COUNTIF($C$2:C169,C169))</f>
        <v/>
      </c>
      <c r="E169" s="4"/>
      <c r="F169" s="4"/>
      <c r="G169" s="4"/>
      <c r="H169" s="6"/>
      <c r="I169" s="4"/>
      <c r="J169" s="4"/>
      <c r="K169" s="4"/>
    </row>
    <row r="170" spans="1:11" ht="14.25" customHeight="1" x14ac:dyDescent="0.3">
      <c r="A170" s="3"/>
      <c r="B170" s="4" t="str">
        <f t="shared" si="2"/>
        <v/>
      </c>
      <c r="C170" s="4"/>
      <c r="D170" s="5" t="str">
        <f>IF(C170="","",COUNTIF($C$2:C170,C170))</f>
        <v/>
      </c>
      <c r="E170" s="4"/>
      <c r="F170" s="4"/>
      <c r="G170" s="4"/>
      <c r="H170" s="6"/>
      <c r="I170" s="4"/>
      <c r="J170" s="4"/>
      <c r="K170" s="4"/>
    </row>
    <row r="171" spans="1:11" ht="14.25" customHeight="1" x14ac:dyDescent="0.3">
      <c r="A171" s="3"/>
      <c r="B171" s="4" t="str">
        <f t="shared" si="2"/>
        <v/>
      </c>
      <c r="C171" s="4"/>
      <c r="D171" s="5" t="str">
        <f>IF(C171="","",COUNTIF($C$2:C171,C171))</f>
        <v/>
      </c>
      <c r="E171" s="4"/>
      <c r="F171" s="4"/>
      <c r="G171" s="4"/>
      <c r="H171" s="6"/>
      <c r="I171" s="4"/>
      <c r="J171" s="4"/>
      <c r="K171" s="4"/>
    </row>
    <row r="172" spans="1:11" ht="14.25" customHeight="1" x14ac:dyDescent="0.3">
      <c r="A172" s="3"/>
      <c r="B172" s="4" t="str">
        <f t="shared" si="2"/>
        <v/>
      </c>
      <c r="C172" s="4"/>
      <c r="D172" s="5" t="str">
        <f>IF(C172="","",COUNTIF($C$2:C172,C172))</f>
        <v/>
      </c>
      <c r="E172" s="4"/>
      <c r="F172" s="4"/>
      <c r="G172" s="4"/>
      <c r="H172" s="6"/>
      <c r="I172" s="4"/>
      <c r="J172" s="4"/>
      <c r="K172" s="4"/>
    </row>
    <row r="173" spans="1:11" ht="14.25" customHeight="1" x14ac:dyDescent="0.3">
      <c r="A173" s="3"/>
      <c r="B173" s="4" t="str">
        <f t="shared" si="2"/>
        <v/>
      </c>
      <c r="C173" s="4"/>
      <c r="D173" s="5" t="str">
        <f>IF(C173="","",COUNTIF($C$2:C173,C173))</f>
        <v/>
      </c>
      <c r="E173" s="4"/>
      <c r="F173" s="4"/>
      <c r="G173" s="4"/>
      <c r="H173" s="6"/>
      <c r="I173" s="4"/>
      <c r="J173" s="4"/>
      <c r="K173" s="4"/>
    </row>
    <row r="174" spans="1:11" ht="14.25" customHeight="1" x14ac:dyDescent="0.3">
      <c r="A174" s="3"/>
      <c r="B174" s="4" t="str">
        <f t="shared" si="2"/>
        <v/>
      </c>
      <c r="C174" s="4"/>
      <c r="D174" s="5" t="str">
        <f>IF(C174="","",COUNTIF($C$2:C174,C174))</f>
        <v/>
      </c>
      <c r="E174" s="4"/>
      <c r="F174" s="4"/>
      <c r="G174" s="4"/>
      <c r="H174" s="6"/>
      <c r="I174" s="4"/>
      <c r="J174" s="4"/>
      <c r="K174" s="4"/>
    </row>
    <row r="175" spans="1:11" ht="14.25" customHeight="1" x14ac:dyDescent="0.3">
      <c r="A175" s="3"/>
      <c r="B175" s="4" t="str">
        <f t="shared" si="2"/>
        <v/>
      </c>
      <c r="C175" s="4"/>
      <c r="D175" s="5" t="str">
        <f>IF(C175="","",COUNTIF($C$2:C175,C175))</f>
        <v/>
      </c>
      <c r="E175" s="4"/>
      <c r="F175" s="4"/>
      <c r="G175" s="4"/>
      <c r="H175" s="6"/>
      <c r="I175" s="4"/>
      <c r="J175" s="4"/>
      <c r="K175" s="4"/>
    </row>
    <row r="176" spans="1:11" ht="14.25" customHeight="1" x14ac:dyDescent="0.3">
      <c r="A176" s="3"/>
      <c r="B176" s="4" t="str">
        <f t="shared" si="2"/>
        <v/>
      </c>
      <c r="C176" s="4"/>
      <c r="D176" s="5" t="str">
        <f>IF(C176="","",COUNTIF($C$2:C176,C176))</f>
        <v/>
      </c>
      <c r="E176" s="4"/>
      <c r="F176" s="4"/>
      <c r="G176" s="4"/>
      <c r="H176" s="6"/>
      <c r="I176" s="4"/>
      <c r="J176" s="4"/>
      <c r="K176" s="4"/>
    </row>
    <row r="177" spans="1:11" ht="14.25" customHeight="1" x14ac:dyDescent="0.3">
      <c r="A177" s="3"/>
      <c r="B177" s="4" t="str">
        <f t="shared" si="2"/>
        <v/>
      </c>
      <c r="C177" s="4"/>
      <c r="D177" s="5" t="str">
        <f>IF(C177="","",COUNTIF($C$2:C177,C177))</f>
        <v/>
      </c>
      <c r="E177" s="4"/>
      <c r="F177" s="4"/>
      <c r="G177" s="4"/>
      <c r="H177" s="6"/>
      <c r="I177" s="4"/>
      <c r="J177" s="4"/>
      <c r="K177" s="4"/>
    </row>
    <row r="178" spans="1:11" ht="14.25" customHeight="1" x14ac:dyDescent="0.3">
      <c r="A178" s="3"/>
      <c r="B178" s="4" t="str">
        <f t="shared" si="2"/>
        <v/>
      </c>
      <c r="C178" s="4"/>
      <c r="D178" s="5" t="str">
        <f>IF(C178="","",COUNTIF($C$2:C178,C178))</f>
        <v/>
      </c>
      <c r="E178" s="4"/>
      <c r="F178" s="4"/>
      <c r="G178" s="4"/>
      <c r="H178" s="6"/>
      <c r="I178" s="4"/>
      <c r="J178" s="4"/>
      <c r="K178" s="4"/>
    </row>
    <row r="179" spans="1:11" ht="14.25" customHeight="1" x14ac:dyDescent="0.3">
      <c r="A179" s="3"/>
      <c r="B179" s="4" t="str">
        <f t="shared" si="2"/>
        <v/>
      </c>
      <c r="C179" s="4"/>
      <c r="D179" s="5" t="str">
        <f>IF(C179="","",COUNTIF($C$2:C179,C179))</f>
        <v/>
      </c>
      <c r="E179" s="4"/>
      <c r="F179" s="4"/>
      <c r="G179" s="4"/>
      <c r="H179" s="6"/>
      <c r="I179" s="4"/>
      <c r="J179" s="4"/>
      <c r="K179" s="4"/>
    </row>
    <row r="180" spans="1:11" ht="14.25" customHeight="1" x14ac:dyDescent="0.3">
      <c r="A180" s="3"/>
      <c r="B180" s="4" t="str">
        <f t="shared" si="2"/>
        <v/>
      </c>
      <c r="C180" s="4"/>
      <c r="D180" s="5" t="str">
        <f>IF(C180="","",COUNTIF($C$2:C180,C180))</f>
        <v/>
      </c>
      <c r="E180" s="4"/>
      <c r="F180" s="4"/>
      <c r="G180" s="4"/>
      <c r="H180" s="6"/>
      <c r="I180" s="4"/>
      <c r="J180" s="4"/>
      <c r="K180" s="4"/>
    </row>
    <row r="181" spans="1:11" ht="14.25" customHeight="1" x14ac:dyDescent="0.3">
      <c r="A181" s="3"/>
      <c r="B181" s="4" t="str">
        <f t="shared" si="2"/>
        <v/>
      </c>
      <c r="C181" s="4"/>
      <c r="D181" s="5" t="str">
        <f>IF(C181="","",COUNTIF($C$2:C181,C181))</f>
        <v/>
      </c>
      <c r="E181" s="4"/>
      <c r="F181" s="4"/>
      <c r="G181" s="4"/>
      <c r="H181" s="6"/>
      <c r="I181" s="4"/>
      <c r="J181" s="4"/>
      <c r="K181" s="4"/>
    </row>
    <row r="182" spans="1:11" ht="14.25" customHeight="1" x14ac:dyDescent="0.3">
      <c r="A182" s="3"/>
      <c r="B182" s="4" t="str">
        <f t="shared" si="2"/>
        <v/>
      </c>
      <c r="C182" s="4"/>
      <c r="D182" s="5" t="str">
        <f>IF(C182="","",COUNTIF($C$2:C182,C182))</f>
        <v/>
      </c>
      <c r="E182" s="4"/>
      <c r="F182" s="4"/>
      <c r="G182" s="4"/>
      <c r="H182" s="6"/>
      <c r="I182" s="4"/>
      <c r="J182" s="4"/>
      <c r="K182" s="4"/>
    </row>
    <row r="183" spans="1:11" ht="14.25" customHeight="1" x14ac:dyDescent="0.3">
      <c r="A183" s="3"/>
      <c r="B183" s="4" t="str">
        <f t="shared" si="2"/>
        <v/>
      </c>
      <c r="C183" s="4"/>
      <c r="D183" s="5" t="str">
        <f>IF(C183="","",COUNTIF($C$2:C183,C183))</f>
        <v/>
      </c>
      <c r="E183" s="4"/>
      <c r="F183" s="4"/>
      <c r="G183" s="4"/>
      <c r="H183" s="6"/>
      <c r="I183" s="4"/>
      <c r="J183" s="4"/>
      <c r="K183" s="4"/>
    </row>
    <row r="184" spans="1:11" ht="14.25" customHeight="1" x14ac:dyDescent="0.3">
      <c r="A184" s="3"/>
      <c r="B184" s="4" t="str">
        <f t="shared" si="2"/>
        <v/>
      </c>
      <c r="C184" s="4"/>
      <c r="D184" s="5" t="str">
        <f>IF(C184="","",COUNTIF($C$2:C184,C184))</f>
        <v/>
      </c>
      <c r="E184" s="4"/>
      <c r="F184" s="4"/>
      <c r="G184" s="4"/>
      <c r="H184" s="6"/>
      <c r="I184" s="4"/>
      <c r="J184" s="4"/>
      <c r="K184" s="4"/>
    </row>
    <row r="185" spans="1:11" ht="14.25" customHeight="1" x14ac:dyDescent="0.3">
      <c r="A185" s="3"/>
      <c r="B185" s="4" t="str">
        <f t="shared" si="2"/>
        <v/>
      </c>
      <c r="C185" s="4"/>
      <c r="D185" s="5" t="str">
        <f>IF(C185="","",COUNTIF($C$2:C185,C185))</f>
        <v/>
      </c>
      <c r="E185" s="4"/>
      <c r="F185" s="4"/>
      <c r="G185" s="4"/>
      <c r="H185" s="6"/>
      <c r="I185" s="4"/>
      <c r="J185" s="4"/>
      <c r="K185" s="4"/>
    </row>
    <row r="186" spans="1:11" ht="14.25" customHeight="1" x14ac:dyDescent="0.3">
      <c r="A186" s="3"/>
      <c r="B186" s="4" t="str">
        <f t="shared" si="2"/>
        <v/>
      </c>
      <c r="C186" s="4"/>
      <c r="D186" s="5" t="str">
        <f>IF(C186="","",COUNTIF($C$2:C186,C186))</f>
        <v/>
      </c>
      <c r="E186" s="4"/>
      <c r="F186" s="4"/>
      <c r="G186" s="4"/>
      <c r="H186" s="6"/>
      <c r="I186" s="4"/>
      <c r="J186" s="4"/>
      <c r="K186" s="4"/>
    </row>
    <row r="187" spans="1:11" ht="14.25" customHeight="1" x14ac:dyDescent="0.3">
      <c r="A187" s="3"/>
      <c r="B187" s="4" t="str">
        <f t="shared" si="2"/>
        <v/>
      </c>
      <c r="C187" s="4"/>
      <c r="D187" s="5" t="str">
        <f>IF(C187="","",COUNTIF($C$2:C187,C187))</f>
        <v/>
      </c>
      <c r="E187" s="4"/>
      <c r="F187" s="4"/>
      <c r="G187" s="4"/>
      <c r="H187" s="6"/>
      <c r="I187" s="4"/>
      <c r="J187" s="4"/>
      <c r="K187" s="4"/>
    </row>
    <row r="188" spans="1:11" ht="14.25" customHeight="1" x14ac:dyDescent="0.3">
      <c r="A188" s="3"/>
      <c r="B188" s="4" t="str">
        <f t="shared" si="2"/>
        <v/>
      </c>
      <c r="C188" s="4"/>
      <c r="D188" s="5" t="str">
        <f>IF(C188="","",COUNTIF($C$2:C188,C188))</f>
        <v/>
      </c>
      <c r="E188" s="4"/>
      <c r="F188" s="4"/>
      <c r="G188" s="4"/>
      <c r="H188" s="6"/>
      <c r="I188" s="4"/>
      <c r="J188" s="4"/>
      <c r="K188" s="4"/>
    </row>
    <row r="189" spans="1:11" ht="14.25" customHeight="1" x14ac:dyDescent="0.3">
      <c r="A189" s="3"/>
      <c r="B189" s="4" t="str">
        <f t="shared" si="2"/>
        <v/>
      </c>
      <c r="C189" s="4"/>
      <c r="D189" s="5" t="str">
        <f>IF(C189="","",COUNTIF($C$2:C189,C189))</f>
        <v/>
      </c>
      <c r="E189" s="4"/>
      <c r="F189" s="4"/>
      <c r="G189" s="4"/>
      <c r="H189" s="6"/>
      <c r="I189" s="4"/>
      <c r="J189" s="4"/>
      <c r="K189" s="4"/>
    </row>
    <row r="190" spans="1:11" ht="14.25" customHeight="1" x14ac:dyDescent="0.3">
      <c r="A190" s="3"/>
      <c r="B190" s="4" t="str">
        <f t="shared" si="2"/>
        <v/>
      </c>
      <c r="C190" s="4"/>
      <c r="D190" s="5" t="str">
        <f>IF(C190="","",COUNTIF($C$2:C190,C190))</f>
        <v/>
      </c>
      <c r="E190" s="4"/>
      <c r="F190" s="4"/>
      <c r="G190" s="4"/>
      <c r="H190" s="6"/>
      <c r="I190" s="4"/>
      <c r="J190" s="4"/>
      <c r="K190" s="4"/>
    </row>
    <row r="191" spans="1:11" ht="14.25" customHeight="1" x14ac:dyDescent="0.3">
      <c r="A191" s="3"/>
      <c r="B191" s="4" t="str">
        <f t="shared" si="2"/>
        <v/>
      </c>
      <c r="C191" s="4"/>
      <c r="D191" s="5" t="str">
        <f>IF(C191="","",COUNTIF($C$2:C191,C191))</f>
        <v/>
      </c>
      <c r="E191" s="4"/>
      <c r="F191" s="4"/>
      <c r="G191" s="4"/>
      <c r="H191" s="6"/>
      <c r="I191" s="4"/>
      <c r="J191" s="4"/>
      <c r="K191" s="4"/>
    </row>
    <row r="192" spans="1:11" ht="14.25" customHeight="1" x14ac:dyDescent="0.3">
      <c r="A192" s="3"/>
      <c r="B192" s="4" t="str">
        <f t="shared" si="2"/>
        <v/>
      </c>
      <c r="C192" s="4"/>
      <c r="D192" s="5" t="str">
        <f>IF(C192="","",COUNTIF($C$2:C192,C192))</f>
        <v/>
      </c>
      <c r="E192" s="4"/>
      <c r="F192" s="4"/>
      <c r="G192" s="4"/>
      <c r="H192" s="6"/>
      <c r="I192" s="4"/>
      <c r="J192" s="4"/>
      <c r="K192" s="4"/>
    </row>
    <row r="193" spans="1:11" ht="14.25" customHeight="1" x14ac:dyDescent="0.3">
      <c r="A193" s="3"/>
      <c r="B193" s="4" t="str">
        <f t="shared" si="2"/>
        <v/>
      </c>
      <c r="C193" s="4"/>
      <c r="D193" s="5" t="str">
        <f>IF(C193="","",COUNTIF($C$2:C193,C193))</f>
        <v/>
      </c>
      <c r="E193" s="4"/>
      <c r="F193" s="4"/>
      <c r="G193" s="4"/>
      <c r="H193" s="6"/>
      <c r="I193" s="4"/>
      <c r="J193" s="4"/>
      <c r="K193" s="4"/>
    </row>
    <row r="194" spans="1:11" ht="14.25" customHeight="1" x14ac:dyDescent="0.3">
      <c r="A194" s="3"/>
      <c r="B194" s="4" t="str">
        <f t="shared" si="2"/>
        <v/>
      </c>
      <c r="C194" s="4"/>
      <c r="D194" s="5" t="str">
        <f>IF(C194="","",COUNTIF($C$2:C194,C194))</f>
        <v/>
      </c>
      <c r="E194" s="4"/>
      <c r="F194" s="4"/>
      <c r="G194" s="4"/>
      <c r="H194" s="6"/>
      <c r="I194" s="4"/>
      <c r="J194" s="4"/>
      <c r="K194" s="4"/>
    </row>
    <row r="195" spans="1:11" ht="14.25" customHeight="1" x14ac:dyDescent="0.3">
      <c r="A195" s="3"/>
      <c r="B195" s="4" t="str">
        <f t="shared" si="2"/>
        <v/>
      </c>
      <c r="C195" s="4"/>
      <c r="D195" s="5" t="str">
        <f>IF(C195="","",COUNTIF($C$2:C195,C195))</f>
        <v/>
      </c>
      <c r="E195" s="4"/>
      <c r="F195" s="4"/>
      <c r="G195" s="4"/>
      <c r="H195" s="6"/>
      <c r="I195" s="4"/>
      <c r="J195" s="4"/>
      <c r="K195" s="4"/>
    </row>
    <row r="196" spans="1:11" ht="14.25" customHeight="1" x14ac:dyDescent="0.3">
      <c r="A196" s="3"/>
      <c r="B196" s="4" t="str">
        <f t="shared" si="2"/>
        <v/>
      </c>
      <c r="C196" s="4"/>
      <c r="D196" s="5" t="str">
        <f>IF(C196="","",COUNTIF($C$2:C196,C196))</f>
        <v/>
      </c>
      <c r="E196" s="4"/>
      <c r="F196" s="4"/>
      <c r="G196" s="4"/>
      <c r="H196" s="6"/>
      <c r="I196" s="4"/>
      <c r="J196" s="4"/>
      <c r="K196" s="4"/>
    </row>
    <row r="197" spans="1:11" ht="14.25" customHeight="1" x14ac:dyDescent="0.3">
      <c r="A197" s="3"/>
      <c r="B197" s="4" t="str">
        <f t="shared" si="2"/>
        <v/>
      </c>
      <c r="C197" s="4"/>
      <c r="D197" s="5" t="str">
        <f>IF(C197="","",COUNTIF($C$2:C197,C197))</f>
        <v/>
      </c>
      <c r="E197" s="4"/>
      <c r="F197" s="4"/>
      <c r="G197" s="4"/>
      <c r="H197" s="6"/>
      <c r="I197" s="4"/>
      <c r="J197" s="4"/>
      <c r="K197" s="4"/>
    </row>
    <row r="198" spans="1:11" ht="14.25" customHeight="1" x14ac:dyDescent="0.3">
      <c r="A198" s="3"/>
      <c r="B198" s="4" t="str">
        <f t="shared" si="2"/>
        <v/>
      </c>
      <c r="C198" s="4"/>
      <c r="D198" s="5" t="str">
        <f>IF(C198="","",COUNTIF($C$2:C198,C198))</f>
        <v/>
      </c>
      <c r="E198" s="4"/>
      <c r="F198" s="4"/>
      <c r="G198" s="4"/>
      <c r="H198" s="6"/>
      <c r="I198" s="4"/>
      <c r="J198" s="4"/>
      <c r="K198" s="4"/>
    </row>
    <row r="199" spans="1:11" ht="14.25" customHeight="1" x14ac:dyDescent="0.3">
      <c r="A199" s="3"/>
      <c r="B199" s="4" t="str">
        <f t="shared" si="2"/>
        <v/>
      </c>
      <c r="C199" s="4"/>
      <c r="D199" s="5" t="str">
        <f>IF(C199="","",COUNTIF($C$2:C199,C199))</f>
        <v/>
      </c>
      <c r="E199" s="4"/>
      <c r="F199" s="4"/>
      <c r="G199" s="4"/>
      <c r="H199" s="6"/>
      <c r="I199" s="4"/>
      <c r="J199" s="4"/>
      <c r="K199" s="4"/>
    </row>
    <row r="200" spans="1:11" ht="14.25" customHeight="1" x14ac:dyDescent="0.3">
      <c r="A200" s="3"/>
      <c r="B200" s="4" t="str">
        <f t="shared" si="2"/>
        <v/>
      </c>
      <c r="C200" s="4"/>
      <c r="D200" s="5" t="str">
        <f>IF(C200="","",COUNTIF($C$2:C200,C200))</f>
        <v/>
      </c>
      <c r="E200" s="4"/>
      <c r="F200" s="4"/>
      <c r="G200" s="4"/>
      <c r="H200" s="6"/>
      <c r="I200" s="4"/>
      <c r="J200" s="4"/>
      <c r="K200" s="4"/>
    </row>
    <row r="201" spans="1:11" ht="14.25" customHeight="1" x14ac:dyDescent="0.3">
      <c r="A201" s="3"/>
      <c r="B201" s="4" t="str">
        <f t="shared" si="2"/>
        <v/>
      </c>
      <c r="C201" s="4"/>
      <c r="D201" s="5" t="str">
        <f>IF(C201="","",COUNTIF($C$2:C201,C201))</f>
        <v/>
      </c>
      <c r="E201" s="4"/>
      <c r="F201" s="4"/>
      <c r="G201" s="4"/>
      <c r="H201" s="6"/>
      <c r="I201" s="4"/>
      <c r="J201" s="4"/>
      <c r="K201" s="4"/>
    </row>
    <row r="202" spans="1:11" ht="14.25" customHeight="1" x14ac:dyDescent="0.3">
      <c r="A202" s="3"/>
      <c r="B202" s="4" t="str">
        <f t="shared" si="2"/>
        <v/>
      </c>
      <c r="C202" s="4"/>
      <c r="D202" s="5" t="str">
        <f>IF(C202="","",COUNTIF($C$2:C202,C202))</f>
        <v/>
      </c>
      <c r="E202" s="4"/>
      <c r="F202" s="4"/>
      <c r="G202" s="4"/>
      <c r="H202" s="6"/>
      <c r="I202" s="4"/>
      <c r="J202" s="4"/>
      <c r="K202" s="4"/>
    </row>
    <row r="203" spans="1:11" ht="14.25" customHeight="1" x14ac:dyDescent="0.3">
      <c r="A203" s="3"/>
      <c r="B203" s="4" t="str">
        <f t="shared" si="2"/>
        <v/>
      </c>
      <c r="C203" s="4"/>
      <c r="D203" s="5" t="str">
        <f>IF(C203="","",COUNTIF($C$2:C203,C203))</f>
        <v/>
      </c>
      <c r="E203" s="4"/>
      <c r="F203" s="4"/>
      <c r="G203" s="4"/>
      <c r="H203" s="6"/>
      <c r="I203" s="4"/>
      <c r="J203" s="4"/>
      <c r="K203" s="4"/>
    </row>
    <row r="204" spans="1:11" ht="14.25" customHeight="1" x14ac:dyDescent="0.3">
      <c r="A204" s="3"/>
      <c r="B204" s="4" t="str">
        <f t="shared" si="2"/>
        <v/>
      </c>
      <c r="C204" s="4"/>
      <c r="D204" s="5" t="str">
        <f>IF(C204="","",COUNTIF($C$2:C204,C204))</f>
        <v/>
      </c>
      <c r="E204" s="4"/>
      <c r="F204" s="4"/>
      <c r="G204" s="4"/>
      <c r="H204" s="6"/>
      <c r="I204" s="4"/>
      <c r="J204" s="4"/>
      <c r="K204" s="4"/>
    </row>
    <row r="205" spans="1:11" ht="14.25" customHeight="1" x14ac:dyDescent="0.3">
      <c r="A205" s="3"/>
      <c r="B205" s="4" t="str">
        <f t="shared" si="2"/>
        <v/>
      </c>
      <c r="C205" s="4"/>
      <c r="D205" s="5" t="str">
        <f>IF(C205="","",COUNTIF($C$2:C205,C205))</f>
        <v/>
      </c>
      <c r="E205" s="4"/>
      <c r="F205" s="4"/>
      <c r="G205" s="4"/>
      <c r="H205" s="6"/>
      <c r="I205" s="4"/>
      <c r="J205" s="4"/>
      <c r="K205" s="4"/>
    </row>
    <row r="206" spans="1:11" ht="14.25" customHeight="1" x14ac:dyDescent="0.3">
      <c r="A206" s="3"/>
      <c r="B206" s="4" t="str">
        <f t="shared" si="2"/>
        <v/>
      </c>
      <c r="C206" s="4"/>
      <c r="D206" s="5" t="str">
        <f>IF(C206="","",COUNTIF($C$2:C206,C206))</f>
        <v/>
      </c>
      <c r="E206" s="4"/>
      <c r="F206" s="4"/>
      <c r="G206" s="4"/>
      <c r="H206" s="6"/>
      <c r="I206" s="4"/>
      <c r="J206" s="4"/>
      <c r="K206" s="4"/>
    </row>
    <row r="207" spans="1:11" ht="14.25" customHeight="1" x14ac:dyDescent="0.3">
      <c r="A207" s="3"/>
      <c r="B207" s="4" t="str">
        <f t="shared" si="2"/>
        <v/>
      </c>
      <c r="C207" s="4"/>
      <c r="D207" s="5" t="str">
        <f>IF(C207="","",COUNTIF($C$2:C207,C207))</f>
        <v/>
      </c>
      <c r="E207" s="4"/>
      <c r="F207" s="4"/>
      <c r="G207" s="4"/>
      <c r="H207" s="6"/>
      <c r="I207" s="4"/>
      <c r="J207" s="4"/>
      <c r="K207" s="4"/>
    </row>
    <row r="208" spans="1:11" ht="14.25" customHeight="1" x14ac:dyDescent="0.3">
      <c r="A208" s="3"/>
      <c r="B208" s="4" t="str">
        <f t="shared" si="2"/>
        <v/>
      </c>
      <c r="C208" s="4"/>
      <c r="D208" s="5" t="str">
        <f>IF(C208="","",COUNTIF($C$2:C208,C208))</f>
        <v/>
      </c>
      <c r="E208" s="4"/>
      <c r="F208" s="4"/>
      <c r="G208" s="4"/>
      <c r="H208" s="6"/>
      <c r="I208" s="4"/>
      <c r="J208" s="4"/>
      <c r="K208" s="4"/>
    </row>
    <row r="209" spans="1:11" ht="14.25" customHeight="1" x14ac:dyDescent="0.3">
      <c r="A209" s="3"/>
      <c r="B209" s="4" t="str">
        <f t="shared" si="2"/>
        <v/>
      </c>
      <c r="C209" s="4"/>
      <c r="D209" s="5" t="str">
        <f>IF(C209="","",COUNTIF($C$2:C209,C209))</f>
        <v/>
      </c>
      <c r="E209" s="4"/>
      <c r="F209" s="4"/>
      <c r="G209" s="4"/>
      <c r="H209" s="6"/>
      <c r="I209" s="4"/>
      <c r="J209" s="4"/>
      <c r="K209" s="4"/>
    </row>
    <row r="210" spans="1:11" ht="14.25" customHeight="1" x14ac:dyDescent="0.3">
      <c r="A210" s="3"/>
      <c r="B210" s="4" t="str">
        <f t="shared" si="2"/>
        <v/>
      </c>
      <c r="C210" s="4"/>
      <c r="D210" s="5" t="str">
        <f>IF(C210="","",COUNTIF($C$2:C210,C210))</f>
        <v/>
      </c>
      <c r="E210" s="4"/>
      <c r="F210" s="4"/>
      <c r="G210" s="4"/>
      <c r="H210" s="6"/>
      <c r="I210" s="4"/>
      <c r="J210" s="4"/>
      <c r="K210" s="4"/>
    </row>
    <row r="211" spans="1:11" ht="14.25" customHeight="1" x14ac:dyDescent="0.3">
      <c r="A211" s="3"/>
      <c r="B211" s="4" t="str">
        <f t="shared" si="2"/>
        <v/>
      </c>
      <c r="C211" s="4"/>
      <c r="D211" s="5" t="str">
        <f>IF(C211="","",COUNTIF($C$2:C211,C211))</f>
        <v/>
      </c>
      <c r="E211" s="4"/>
      <c r="F211" s="4"/>
      <c r="G211" s="4"/>
      <c r="H211" s="6"/>
      <c r="I211" s="4"/>
      <c r="J211" s="4"/>
      <c r="K211" s="4"/>
    </row>
    <row r="212" spans="1:11" ht="14.25" customHeight="1" x14ac:dyDescent="0.3">
      <c r="A212" s="3"/>
      <c r="B212" s="4" t="str">
        <f t="shared" si="2"/>
        <v/>
      </c>
      <c r="C212" s="4"/>
      <c r="D212" s="5" t="str">
        <f>IF(C212="","",COUNTIF($C$2:C212,C212))</f>
        <v/>
      </c>
      <c r="E212" s="4"/>
      <c r="F212" s="4"/>
      <c r="G212" s="4"/>
      <c r="H212" s="6"/>
      <c r="I212" s="4"/>
      <c r="J212" s="4"/>
      <c r="K212" s="4"/>
    </row>
    <row r="213" spans="1:11" ht="14.25" customHeight="1" x14ac:dyDescent="0.3">
      <c r="A213" s="3"/>
      <c r="B213" s="4" t="str">
        <f t="shared" si="2"/>
        <v/>
      </c>
      <c r="C213" s="4"/>
      <c r="D213" s="5" t="str">
        <f>IF(C213="","",COUNTIF($C$2:C213,C213))</f>
        <v/>
      </c>
      <c r="E213" s="4"/>
      <c r="F213" s="4"/>
      <c r="G213" s="4"/>
      <c r="H213" s="6"/>
      <c r="I213" s="4"/>
      <c r="J213" s="4"/>
      <c r="K213" s="4"/>
    </row>
    <row r="214" spans="1:11" ht="14.25" customHeight="1" x14ac:dyDescent="0.3">
      <c r="A214" s="3"/>
      <c r="B214" s="4" t="str">
        <f t="shared" si="2"/>
        <v/>
      </c>
      <c r="C214" s="4"/>
      <c r="D214" s="5" t="str">
        <f>IF(C214="","",COUNTIF($C$2:C214,C214))</f>
        <v/>
      </c>
      <c r="E214" s="4"/>
      <c r="F214" s="4"/>
      <c r="G214" s="4"/>
      <c r="H214" s="6"/>
      <c r="I214" s="4"/>
      <c r="J214" s="4"/>
      <c r="K214" s="4"/>
    </row>
    <row r="215" spans="1:11" ht="14.25" customHeight="1" x14ac:dyDescent="0.3">
      <c r="A215" s="3"/>
      <c r="B215" s="4" t="str">
        <f t="shared" si="2"/>
        <v/>
      </c>
      <c r="C215" s="4"/>
      <c r="D215" s="5" t="str">
        <f>IF(C215="","",COUNTIF($C$2:C215,C215))</f>
        <v/>
      </c>
      <c r="E215" s="4"/>
      <c r="F215" s="4"/>
      <c r="G215" s="4"/>
      <c r="H215" s="6"/>
      <c r="I215" s="4"/>
      <c r="J215" s="4"/>
      <c r="K215" s="4"/>
    </row>
    <row r="216" spans="1:11" ht="14.25" customHeight="1" x14ac:dyDescent="0.3">
      <c r="A216" s="3"/>
      <c r="B216" s="4" t="str">
        <f t="shared" si="2"/>
        <v/>
      </c>
      <c r="C216" s="4"/>
      <c r="D216" s="5" t="str">
        <f>IF(C216="","",COUNTIF($C$2:C216,C216))</f>
        <v/>
      </c>
      <c r="E216" s="4"/>
      <c r="F216" s="4"/>
      <c r="G216" s="4"/>
      <c r="H216" s="6"/>
      <c r="I216" s="4"/>
      <c r="J216" s="4"/>
      <c r="K216" s="4"/>
    </row>
    <row r="217" spans="1:11" ht="14.25" customHeight="1" x14ac:dyDescent="0.3">
      <c r="A217" s="3"/>
      <c r="B217" s="4" t="str">
        <f t="shared" si="2"/>
        <v/>
      </c>
      <c r="C217" s="4"/>
      <c r="D217" s="5" t="str">
        <f>IF(C217="","",COUNTIF($C$2:C217,C217))</f>
        <v/>
      </c>
      <c r="E217" s="4"/>
      <c r="F217" s="4"/>
      <c r="G217" s="4"/>
      <c r="H217" s="6"/>
      <c r="I217" s="4"/>
      <c r="J217" s="4"/>
      <c r="K217" s="4"/>
    </row>
    <row r="218" spans="1:11" ht="14.25" customHeight="1" x14ac:dyDescent="0.3">
      <c r="A218" s="3"/>
      <c r="B218" s="4" t="str">
        <f t="shared" si="2"/>
        <v/>
      </c>
      <c r="C218" s="4"/>
      <c r="D218" s="5" t="str">
        <f>IF(C218="","",COUNTIF($C$2:C218,C218))</f>
        <v/>
      </c>
      <c r="E218" s="4"/>
      <c r="F218" s="4"/>
      <c r="G218" s="4"/>
      <c r="H218" s="6"/>
      <c r="I218" s="4"/>
      <c r="J218" s="4"/>
      <c r="K218" s="4"/>
    </row>
    <row r="219" spans="1:11" ht="14.25" customHeight="1" x14ac:dyDescent="0.3">
      <c r="A219" s="3"/>
      <c r="B219" s="4" t="str">
        <f t="shared" si="2"/>
        <v/>
      </c>
      <c r="C219" s="4"/>
      <c r="D219" s="5" t="str">
        <f>IF(C219="","",COUNTIF($C$2:C219,C219))</f>
        <v/>
      </c>
      <c r="E219" s="4"/>
      <c r="F219" s="4"/>
      <c r="G219" s="4"/>
      <c r="H219" s="6"/>
      <c r="I219" s="4"/>
      <c r="J219" s="4"/>
      <c r="K219" s="4"/>
    </row>
    <row r="220" spans="1:11" ht="14.25" customHeight="1" x14ac:dyDescent="0.3">
      <c r="A220" s="3"/>
      <c r="B220" s="4" t="str">
        <f t="shared" si="2"/>
        <v/>
      </c>
      <c r="C220" s="4"/>
      <c r="D220" s="5" t="str">
        <f>IF(C220="","",COUNTIF($C$2:C220,C220))</f>
        <v/>
      </c>
      <c r="E220" s="4"/>
      <c r="F220" s="4"/>
      <c r="G220" s="4"/>
      <c r="H220" s="6"/>
      <c r="I220" s="4"/>
      <c r="J220" s="4"/>
      <c r="K220" s="4"/>
    </row>
    <row r="221" spans="1:11" ht="14.25" customHeight="1" x14ac:dyDescent="0.3">
      <c r="A221" s="3"/>
      <c r="B221" s="4" t="str">
        <f t="shared" si="2"/>
        <v/>
      </c>
      <c r="C221" s="4"/>
      <c r="D221" s="5" t="str">
        <f>IF(C221="","",COUNTIF($C$2:C221,C221))</f>
        <v/>
      </c>
      <c r="E221" s="4"/>
      <c r="F221" s="4"/>
      <c r="G221" s="4"/>
      <c r="H221" s="6"/>
      <c r="I221" s="4"/>
      <c r="J221" s="4"/>
      <c r="K221" s="4"/>
    </row>
    <row r="222" spans="1:11" ht="14.25" customHeight="1" x14ac:dyDescent="0.3">
      <c r="A222" s="3"/>
      <c r="B222" s="4" t="str">
        <f t="shared" ref="B222:B285" si="3">IF(A222="","",TEXT(A222,"dddd"))</f>
        <v/>
      </c>
      <c r="C222" s="4"/>
      <c r="D222" s="5" t="str">
        <f>IF(C222="","",COUNTIF($C$2:C222,C222))</f>
        <v/>
      </c>
      <c r="E222" s="4"/>
      <c r="F222" s="4"/>
      <c r="G222" s="4"/>
      <c r="H222" s="6"/>
      <c r="I222" s="4"/>
      <c r="J222" s="4"/>
      <c r="K222" s="4"/>
    </row>
    <row r="223" spans="1:11" ht="14.25" customHeight="1" x14ac:dyDescent="0.3">
      <c r="A223" s="3"/>
      <c r="B223" s="4" t="str">
        <f t="shared" si="3"/>
        <v/>
      </c>
      <c r="C223" s="4"/>
      <c r="D223" s="5" t="str">
        <f>IF(C223="","",COUNTIF($C$2:C223,C223))</f>
        <v/>
      </c>
      <c r="E223" s="4"/>
      <c r="F223" s="4"/>
      <c r="G223" s="4"/>
      <c r="H223" s="6"/>
      <c r="I223" s="4"/>
      <c r="J223" s="4"/>
      <c r="K223" s="4"/>
    </row>
    <row r="224" spans="1:11" ht="14.25" customHeight="1" x14ac:dyDescent="0.3">
      <c r="A224" s="3"/>
      <c r="B224" s="4" t="str">
        <f t="shared" si="3"/>
        <v/>
      </c>
      <c r="C224" s="4"/>
      <c r="D224" s="5" t="str">
        <f>IF(C224="","",COUNTIF($C$2:C224,C224))</f>
        <v/>
      </c>
      <c r="E224" s="4"/>
      <c r="F224" s="4"/>
      <c r="G224" s="4"/>
      <c r="H224" s="6"/>
      <c r="I224" s="4"/>
      <c r="J224" s="4"/>
      <c r="K224" s="4"/>
    </row>
    <row r="225" spans="1:11" ht="14.25" customHeight="1" x14ac:dyDescent="0.3">
      <c r="A225" s="3"/>
      <c r="B225" s="4" t="str">
        <f t="shared" si="3"/>
        <v/>
      </c>
      <c r="C225" s="4"/>
      <c r="D225" s="5" t="str">
        <f>IF(C225="","",COUNTIF($C$2:C225,C225))</f>
        <v/>
      </c>
      <c r="E225" s="4"/>
      <c r="F225" s="4"/>
      <c r="G225" s="4"/>
      <c r="H225" s="6"/>
      <c r="I225" s="4"/>
      <c r="J225" s="4"/>
      <c r="K225" s="4"/>
    </row>
    <row r="226" spans="1:11" ht="14.25" customHeight="1" x14ac:dyDescent="0.3">
      <c r="A226" s="3"/>
      <c r="B226" s="4" t="str">
        <f t="shared" si="3"/>
        <v/>
      </c>
      <c r="C226" s="4"/>
      <c r="D226" s="5" t="str">
        <f>IF(C226="","",COUNTIF($C$2:C226,C226))</f>
        <v/>
      </c>
      <c r="E226" s="4"/>
      <c r="F226" s="4"/>
      <c r="G226" s="4"/>
      <c r="H226" s="6"/>
      <c r="I226" s="4"/>
      <c r="J226" s="4"/>
      <c r="K226" s="4"/>
    </row>
    <row r="227" spans="1:11" ht="14.25" customHeight="1" x14ac:dyDescent="0.3">
      <c r="A227" s="3"/>
      <c r="B227" s="4" t="str">
        <f t="shared" si="3"/>
        <v/>
      </c>
      <c r="C227" s="4"/>
      <c r="D227" s="5" t="str">
        <f>IF(C227="","",COUNTIF($C$2:C227,C227))</f>
        <v/>
      </c>
      <c r="E227" s="4"/>
      <c r="F227" s="4"/>
      <c r="G227" s="4"/>
      <c r="H227" s="6"/>
      <c r="I227" s="4"/>
      <c r="J227" s="4"/>
      <c r="K227" s="4"/>
    </row>
    <row r="228" spans="1:11" ht="14.25" customHeight="1" x14ac:dyDescent="0.3">
      <c r="A228" s="3"/>
      <c r="B228" s="4" t="str">
        <f t="shared" si="3"/>
        <v/>
      </c>
      <c r="C228" s="4"/>
      <c r="D228" s="5" t="str">
        <f>IF(C228="","",COUNTIF($C$2:C228,C228))</f>
        <v/>
      </c>
      <c r="E228" s="4"/>
      <c r="F228" s="4"/>
      <c r="G228" s="4"/>
      <c r="H228" s="6"/>
      <c r="I228" s="4"/>
      <c r="J228" s="4"/>
      <c r="K228" s="4"/>
    </row>
    <row r="229" spans="1:11" ht="14.25" customHeight="1" x14ac:dyDescent="0.3">
      <c r="A229" s="3"/>
      <c r="B229" s="4" t="str">
        <f t="shared" si="3"/>
        <v/>
      </c>
      <c r="C229" s="4"/>
      <c r="D229" s="5" t="str">
        <f>IF(C229="","",COUNTIF($C$2:C229,C229))</f>
        <v/>
      </c>
      <c r="E229" s="4"/>
      <c r="F229" s="4"/>
      <c r="G229" s="4"/>
      <c r="H229" s="6"/>
      <c r="I229" s="4"/>
      <c r="J229" s="4"/>
      <c r="K229" s="4"/>
    </row>
    <row r="230" spans="1:11" ht="14.25" customHeight="1" x14ac:dyDescent="0.3">
      <c r="A230" s="3"/>
      <c r="B230" s="4" t="str">
        <f t="shared" si="3"/>
        <v/>
      </c>
      <c r="C230" s="4"/>
      <c r="D230" s="5" t="str">
        <f>IF(C230="","",COUNTIF($C$2:C230,C230))</f>
        <v/>
      </c>
      <c r="E230" s="4"/>
      <c r="F230" s="4"/>
      <c r="G230" s="4"/>
      <c r="H230" s="6"/>
      <c r="I230" s="4"/>
      <c r="J230" s="4"/>
      <c r="K230" s="4"/>
    </row>
    <row r="231" spans="1:11" ht="14.25" customHeight="1" x14ac:dyDescent="0.3">
      <c r="A231" s="3"/>
      <c r="B231" s="4" t="str">
        <f t="shared" si="3"/>
        <v/>
      </c>
      <c r="C231" s="4"/>
      <c r="D231" s="5" t="str">
        <f>IF(C231="","",COUNTIF($C$2:C231,C231))</f>
        <v/>
      </c>
      <c r="E231" s="4"/>
      <c r="F231" s="4"/>
      <c r="G231" s="4"/>
      <c r="H231" s="6"/>
      <c r="I231" s="4"/>
      <c r="J231" s="4"/>
      <c r="K231" s="4"/>
    </row>
    <row r="232" spans="1:11" ht="14.25" customHeight="1" x14ac:dyDescent="0.3">
      <c r="A232" s="3"/>
      <c r="B232" s="4" t="str">
        <f t="shared" si="3"/>
        <v/>
      </c>
      <c r="C232" s="4"/>
      <c r="D232" s="5" t="str">
        <f>IF(C232="","",COUNTIF($C$2:C232,C232))</f>
        <v/>
      </c>
      <c r="E232" s="4"/>
      <c r="F232" s="4"/>
      <c r="G232" s="4"/>
      <c r="H232" s="6"/>
      <c r="I232" s="4"/>
      <c r="J232" s="4"/>
      <c r="K232" s="4"/>
    </row>
    <row r="233" spans="1:11" ht="14.25" customHeight="1" x14ac:dyDescent="0.3">
      <c r="A233" s="3"/>
      <c r="B233" s="4" t="str">
        <f t="shared" si="3"/>
        <v/>
      </c>
      <c r="C233" s="4"/>
      <c r="D233" s="5" t="str">
        <f>IF(C233="","",COUNTIF($C$2:C233,C233))</f>
        <v/>
      </c>
      <c r="E233" s="4"/>
      <c r="F233" s="4"/>
      <c r="G233" s="4"/>
      <c r="H233" s="6"/>
      <c r="I233" s="4"/>
      <c r="J233" s="4"/>
      <c r="K233" s="4"/>
    </row>
    <row r="234" spans="1:11" ht="14.25" customHeight="1" x14ac:dyDescent="0.3">
      <c r="A234" s="3"/>
      <c r="B234" s="4" t="str">
        <f t="shared" si="3"/>
        <v/>
      </c>
      <c r="C234" s="4"/>
      <c r="D234" s="5" t="str">
        <f>IF(C234="","",COUNTIF($C$2:C234,C234))</f>
        <v/>
      </c>
      <c r="E234" s="4"/>
      <c r="F234" s="4"/>
      <c r="G234" s="4"/>
      <c r="H234" s="6"/>
      <c r="I234" s="4"/>
      <c r="J234" s="4"/>
      <c r="K234" s="4"/>
    </row>
    <row r="235" spans="1:11" ht="14.25" customHeight="1" x14ac:dyDescent="0.3">
      <c r="A235" s="3"/>
      <c r="B235" s="4" t="str">
        <f t="shared" si="3"/>
        <v/>
      </c>
      <c r="C235" s="4"/>
      <c r="D235" s="5" t="str">
        <f>IF(C235="","",COUNTIF($C$2:C235,C235))</f>
        <v/>
      </c>
      <c r="E235" s="4"/>
      <c r="F235" s="4"/>
      <c r="G235" s="4"/>
      <c r="H235" s="6"/>
      <c r="I235" s="4"/>
      <c r="J235" s="4"/>
      <c r="K235" s="4"/>
    </row>
    <row r="236" spans="1:11" ht="14.25" customHeight="1" x14ac:dyDescent="0.3">
      <c r="A236" s="3"/>
      <c r="B236" s="4" t="str">
        <f t="shared" si="3"/>
        <v/>
      </c>
      <c r="C236" s="4"/>
      <c r="D236" s="5" t="str">
        <f>IF(C236="","",COUNTIF($C$2:C236,C236))</f>
        <v/>
      </c>
      <c r="E236" s="4"/>
      <c r="F236" s="4"/>
      <c r="G236" s="4"/>
      <c r="H236" s="6"/>
      <c r="I236" s="4"/>
      <c r="J236" s="4"/>
      <c r="K236" s="4"/>
    </row>
    <row r="237" spans="1:11" ht="14.25" customHeight="1" x14ac:dyDescent="0.3">
      <c r="A237" s="3"/>
      <c r="B237" s="4" t="str">
        <f t="shared" si="3"/>
        <v/>
      </c>
      <c r="C237" s="4"/>
      <c r="D237" s="5" t="str">
        <f>IF(C237="","",COUNTIF($C$2:C237,C237))</f>
        <v/>
      </c>
      <c r="E237" s="4"/>
      <c r="F237" s="4"/>
      <c r="G237" s="4"/>
      <c r="H237" s="6"/>
      <c r="I237" s="4"/>
      <c r="J237" s="4"/>
      <c r="K237" s="4"/>
    </row>
    <row r="238" spans="1:11" ht="14.25" customHeight="1" x14ac:dyDescent="0.3">
      <c r="A238" s="3"/>
      <c r="B238" s="4" t="str">
        <f t="shared" si="3"/>
        <v/>
      </c>
      <c r="C238" s="4"/>
      <c r="D238" s="5" t="str">
        <f>IF(C238="","",COUNTIF($C$2:C238,C238))</f>
        <v/>
      </c>
      <c r="E238" s="4"/>
      <c r="F238" s="4"/>
      <c r="G238" s="4"/>
      <c r="H238" s="6"/>
      <c r="I238" s="4"/>
      <c r="J238" s="4"/>
      <c r="K238" s="4"/>
    </row>
    <row r="239" spans="1:11" ht="14.25" customHeight="1" x14ac:dyDescent="0.3">
      <c r="A239" s="3"/>
      <c r="B239" s="4" t="str">
        <f t="shared" si="3"/>
        <v/>
      </c>
      <c r="C239" s="4"/>
      <c r="D239" s="5" t="str">
        <f>IF(C239="","",COUNTIF($C$2:C239,C239))</f>
        <v/>
      </c>
      <c r="E239" s="4"/>
      <c r="F239" s="4"/>
      <c r="G239" s="4"/>
      <c r="H239" s="6"/>
      <c r="I239" s="4"/>
      <c r="J239" s="4"/>
      <c r="K239" s="4"/>
    </row>
    <row r="240" spans="1:11" ht="14.25" customHeight="1" x14ac:dyDescent="0.3">
      <c r="A240" s="3"/>
      <c r="B240" s="4" t="str">
        <f t="shared" si="3"/>
        <v/>
      </c>
      <c r="C240" s="4"/>
      <c r="D240" s="5" t="str">
        <f>IF(C240="","",COUNTIF($C$2:C240,C240))</f>
        <v/>
      </c>
      <c r="E240" s="4"/>
      <c r="F240" s="4"/>
      <c r="G240" s="4"/>
      <c r="H240" s="6"/>
      <c r="I240" s="4"/>
      <c r="J240" s="4"/>
      <c r="K240" s="4"/>
    </row>
    <row r="241" spans="1:11" ht="14.25" customHeight="1" x14ac:dyDescent="0.3">
      <c r="A241" s="3"/>
      <c r="B241" s="4" t="str">
        <f t="shared" si="3"/>
        <v/>
      </c>
      <c r="C241" s="4"/>
      <c r="D241" s="5" t="str">
        <f>IF(C241="","",COUNTIF($C$2:C241,C241))</f>
        <v/>
      </c>
      <c r="E241" s="4"/>
      <c r="F241" s="4"/>
      <c r="G241" s="4"/>
      <c r="H241" s="6"/>
      <c r="I241" s="4"/>
      <c r="J241" s="4"/>
      <c r="K241" s="4"/>
    </row>
    <row r="242" spans="1:11" ht="14.25" customHeight="1" x14ac:dyDescent="0.3">
      <c r="A242" s="3"/>
      <c r="B242" s="4" t="str">
        <f t="shared" si="3"/>
        <v/>
      </c>
      <c r="C242" s="4"/>
      <c r="D242" s="5" t="str">
        <f>IF(C242="","",COUNTIF($C$2:C242,C242))</f>
        <v/>
      </c>
      <c r="E242" s="4"/>
      <c r="F242" s="4"/>
      <c r="G242" s="4"/>
      <c r="H242" s="6"/>
      <c r="I242" s="4"/>
      <c r="J242" s="4"/>
      <c r="K242" s="4"/>
    </row>
    <row r="243" spans="1:11" ht="14.25" customHeight="1" x14ac:dyDescent="0.3">
      <c r="A243" s="3"/>
      <c r="B243" s="4" t="str">
        <f t="shared" si="3"/>
        <v/>
      </c>
      <c r="C243" s="4"/>
      <c r="D243" s="5" t="str">
        <f>IF(C243="","",COUNTIF($C$2:C243,C243))</f>
        <v/>
      </c>
      <c r="E243" s="4"/>
      <c r="F243" s="4"/>
      <c r="G243" s="4"/>
      <c r="H243" s="6"/>
      <c r="I243" s="4"/>
      <c r="J243" s="4"/>
      <c r="K243" s="4"/>
    </row>
    <row r="244" spans="1:11" ht="14.25" customHeight="1" x14ac:dyDescent="0.3">
      <c r="A244" s="3"/>
      <c r="B244" s="4" t="str">
        <f t="shared" si="3"/>
        <v/>
      </c>
      <c r="C244" s="4"/>
      <c r="D244" s="5" t="str">
        <f>IF(C244="","",COUNTIF($C$2:C244,C244))</f>
        <v/>
      </c>
      <c r="E244" s="4"/>
      <c r="F244" s="4"/>
      <c r="G244" s="4"/>
      <c r="H244" s="6"/>
      <c r="I244" s="4"/>
      <c r="J244" s="4"/>
      <c r="K244" s="4"/>
    </row>
    <row r="245" spans="1:11" ht="14.25" customHeight="1" x14ac:dyDescent="0.3">
      <c r="A245" s="3"/>
      <c r="B245" s="4" t="str">
        <f t="shared" si="3"/>
        <v/>
      </c>
      <c r="C245" s="4"/>
      <c r="D245" s="5" t="str">
        <f>IF(C245="","",COUNTIF($C$2:C245,C245))</f>
        <v/>
      </c>
      <c r="E245" s="4"/>
      <c r="F245" s="4"/>
      <c r="G245" s="4"/>
      <c r="H245" s="6"/>
      <c r="I245" s="4"/>
      <c r="J245" s="4"/>
      <c r="K245" s="4"/>
    </row>
    <row r="246" spans="1:11" ht="14.25" customHeight="1" x14ac:dyDescent="0.3">
      <c r="A246" s="3"/>
      <c r="B246" s="4" t="str">
        <f t="shared" si="3"/>
        <v/>
      </c>
      <c r="C246" s="4"/>
      <c r="D246" s="5" t="str">
        <f>IF(C246="","",COUNTIF($C$2:C246,C246))</f>
        <v/>
      </c>
      <c r="E246" s="4"/>
      <c r="F246" s="4"/>
      <c r="G246" s="4"/>
      <c r="H246" s="6"/>
      <c r="I246" s="4"/>
      <c r="J246" s="4"/>
      <c r="K246" s="4"/>
    </row>
    <row r="247" spans="1:11" ht="14.25" customHeight="1" x14ac:dyDescent="0.3">
      <c r="A247" s="3"/>
      <c r="B247" s="4" t="str">
        <f t="shared" si="3"/>
        <v/>
      </c>
      <c r="C247" s="4"/>
      <c r="D247" s="5" t="str">
        <f>IF(C247="","",COUNTIF($C$2:C247,C247))</f>
        <v/>
      </c>
      <c r="E247" s="4"/>
      <c r="F247" s="4"/>
      <c r="G247" s="4"/>
      <c r="H247" s="6"/>
      <c r="I247" s="4"/>
      <c r="J247" s="4"/>
      <c r="K247" s="4"/>
    </row>
    <row r="248" spans="1:11" ht="14.25" customHeight="1" x14ac:dyDescent="0.3">
      <c r="A248" s="3"/>
      <c r="B248" s="4" t="str">
        <f t="shared" si="3"/>
        <v/>
      </c>
      <c r="C248" s="4"/>
      <c r="D248" s="5" t="str">
        <f>IF(C248="","",COUNTIF($C$2:C248,C248))</f>
        <v/>
      </c>
      <c r="E248" s="4"/>
      <c r="F248" s="4"/>
      <c r="G248" s="4"/>
      <c r="H248" s="6"/>
      <c r="I248" s="4"/>
      <c r="J248" s="4"/>
      <c r="K248" s="4"/>
    </row>
  </sheetData>
  <autoFilter ref="A1:K248" xr:uid="{00000000-0009-0000-0000-000000000000}"/>
  <conditionalFormatting sqref="A2:A248">
    <cfRule type="expression" dxfId="7" priority="6">
      <formula>AND($A2&lt;&gt;"",$A2&lt;&gt;$A1)</formula>
    </cfRule>
  </conditionalFormatting>
  <conditionalFormatting sqref="I2:I248">
    <cfRule type="expression" dxfId="6" priority="2">
      <formula>$I2="Done"</formula>
    </cfRule>
    <cfRule type="expression" dxfId="5" priority="3">
      <formula>$I2="In Progress"</formula>
    </cfRule>
    <cfRule type="expression" dxfId="4" priority="4">
      <formula>$I2="Blocked"</formula>
    </cfRule>
    <cfRule type="expression" dxfId="3" priority="5">
      <formula>$I2="Cancelled"</formula>
    </cfRule>
  </conditionalFormatting>
  <dataValidations count="2">
    <dataValidation type="list" allowBlank="1" sqref="F2:F23 F26:F248" xr:uid="{00000000-0002-0000-0000-000000000000}">
      <formula1>"Planning,Design,Development,Testing,Documentation,Meeting,Research,Setup,Deployment,Other"</formula1>
      <formula2>0</formula2>
    </dataValidation>
    <dataValidation type="list" allowBlank="1" sqref="I2:I23 I26:I248" xr:uid="{00000000-0002-0000-0000-000001000000}">
      <formula1>"Not Started,In Progress,Done,Blocked,Cancelled"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35" customWidth="1"/>
    <col min="3" max="4" width="13" customWidth="1"/>
    <col min="5" max="5" width="16" customWidth="1"/>
    <col min="6" max="6" width="14" customWidth="1"/>
  </cols>
  <sheetData>
    <row r="1" spans="1:6" ht="27.75" customHeight="1" x14ac:dyDescent="0.3">
      <c r="A1" s="2" t="s">
        <v>2</v>
      </c>
      <c r="B1" s="2" t="s">
        <v>81</v>
      </c>
      <c r="C1" s="2" t="s">
        <v>82</v>
      </c>
      <c r="D1" s="2" t="s">
        <v>83</v>
      </c>
      <c r="E1" s="2" t="s">
        <v>84</v>
      </c>
      <c r="F1" s="2" t="s">
        <v>8</v>
      </c>
    </row>
    <row r="2" spans="1:6" ht="14.25" customHeight="1" x14ac:dyDescent="0.3">
      <c r="A2" s="13">
        <v>1</v>
      </c>
      <c r="B2" s="13" t="s">
        <v>85</v>
      </c>
      <c r="C2" s="14">
        <v>46146</v>
      </c>
      <c r="D2" s="14">
        <v>46159</v>
      </c>
      <c r="E2" s="13">
        <f t="shared" ref="E2:E7" si="0">D2-C2+1</f>
        <v>14</v>
      </c>
      <c r="F2" s="13" t="s">
        <v>24</v>
      </c>
    </row>
    <row r="3" spans="1:6" ht="14.25" customHeight="1" x14ac:dyDescent="0.3">
      <c r="A3" s="13">
        <v>2</v>
      </c>
      <c r="B3" s="13" t="s">
        <v>86</v>
      </c>
      <c r="C3" s="14">
        <v>46160</v>
      </c>
      <c r="D3" s="14">
        <v>46173</v>
      </c>
      <c r="E3" s="13">
        <f t="shared" si="0"/>
        <v>14</v>
      </c>
      <c r="F3" s="13" t="s">
        <v>24</v>
      </c>
    </row>
    <row r="4" spans="1:6" ht="14.25" customHeight="1" x14ac:dyDescent="0.3">
      <c r="A4" s="13">
        <v>3</v>
      </c>
      <c r="B4" s="13" t="s">
        <v>87</v>
      </c>
      <c r="C4" s="14">
        <v>46174</v>
      </c>
      <c r="D4" s="14">
        <v>46187</v>
      </c>
      <c r="E4" s="13">
        <f t="shared" si="0"/>
        <v>14</v>
      </c>
      <c r="F4" s="13" t="s">
        <v>24</v>
      </c>
    </row>
    <row r="5" spans="1:6" ht="14.25" customHeight="1" x14ac:dyDescent="0.3">
      <c r="A5" s="13">
        <v>4</v>
      </c>
      <c r="B5" s="13" t="s">
        <v>88</v>
      </c>
      <c r="C5" s="14">
        <v>46188</v>
      </c>
      <c r="D5" s="14">
        <v>46201</v>
      </c>
      <c r="E5" s="13">
        <f t="shared" si="0"/>
        <v>14</v>
      </c>
      <c r="F5" s="13" t="s">
        <v>24</v>
      </c>
    </row>
    <row r="6" spans="1:6" ht="14.25" customHeight="1" x14ac:dyDescent="0.3">
      <c r="A6" s="13">
        <v>5</v>
      </c>
      <c r="B6" s="13" t="s">
        <v>89</v>
      </c>
      <c r="C6" s="14">
        <v>46202</v>
      </c>
      <c r="D6" s="14">
        <v>46215</v>
      </c>
      <c r="E6" s="13">
        <f t="shared" si="0"/>
        <v>14</v>
      </c>
      <c r="F6" s="13" t="s">
        <v>24</v>
      </c>
    </row>
    <row r="7" spans="1:6" ht="14.25" customHeight="1" x14ac:dyDescent="0.3">
      <c r="A7" s="13">
        <v>6</v>
      </c>
      <c r="B7" s="13" t="s">
        <v>90</v>
      </c>
      <c r="C7" s="14">
        <v>46216</v>
      </c>
      <c r="D7" s="14">
        <v>46229</v>
      </c>
      <c r="E7" s="13">
        <f t="shared" si="0"/>
        <v>14</v>
      </c>
      <c r="F7" s="13" t="s">
        <v>24</v>
      </c>
    </row>
  </sheetData>
  <conditionalFormatting sqref="F2:F20">
    <cfRule type="expression" dxfId="2" priority="2">
      <formula>$F2="Done"</formula>
    </cfRule>
    <cfRule type="expression" dxfId="1" priority="3">
      <formula>$F2="In Progress"</formula>
    </cfRule>
    <cfRule type="expression" dxfId="0" priority="4">
      <formula>$F2="Delayed"</formula>
    </cfRule>
  </conditionalFormatting>
  <dataValidations count="1">
    <dataValidation type="list" allowBlank="1" sqref="F2:F20" xr:uid="{00000000-0002-0000-0100-000000000000}">
      <formula1>"Not Started,In Progress,Done,Delayed"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zoomScaleNormal="100" workbookViewId="0"/>
  </sheetViews>
  <sheetFormatPr defaultColWidth="8.6640625" defaultRowHeight="14.4" x14ac:dyDescent="0.3"/>
  <cols>
    <col min="1" max="1" width="28" customWidth="1"/>
    <col min="2" max="2" width="18" customWidth="1"/>
    <col min="4" max="5" width="15" customWidth="1"/>
  </cols>
  <sheetData>
    <row r="1" spans="1:5" ht="21" customHeight="1" x14ac:dyDescent="0.4">
      <c r="A1" s="1" t="s">
        <v>91</v>
      </c>
      <c r="B1" s="1"/>
      <c r="C1" s="1"/>
    </row>
    <row r="3" spans="1:5" ht="14.25" customHeight="1" x14ac:dyDescent="0.3">
      <c r="A3" s="15" t="s">
        <v>92</v>
      </c>
      <c r="B3" s="16">
        <f>SUM('Daily Log'!H2:H248)</f>
        <v>22.42</v>
      </c>
    </row>
    <row r="4" spans="1:5" ht="14.25" customHeight="1" x14ac:dyDescent="0.3">
      <c r="A4" s="15" t="s">
        <v>93</v>
      </c>
      <c r="B4" s="17">
        <f>COUNTA('Daily Log'!E2:E248)</f>
        <v>38</v>
      </c>
    </row>
    <row r="5" spans="1:5" ht="14.25" customHeight="1" x14ac:dyDescent="0.3">
      <c r="A5" s="15" t="s">
        <v>94</v>
      </c>
      <c r="B5" s="18">
        <f>SUMPRODUCT(('Daily Log'!A2:A248&lt;&gt;"")/COUNTIF('Daily Log'!A2:A248,'Daily Log'!A2:A248&amp;""))</f>
        <v>5.0000000000000053</v>
      </c>
    </row>
    <row r="6" spans="1:5" ht="14.25" customHeight="1" x14ac:dyDescent="0.3">
      <c r="A6" s="15" t="s">
        <v>95</v>
      </c>
      <c r="B6" s="16">
        <f>IFERROR(B4/B5,0)</f>
        <v>7.5999999999999917</v>
      </c>
    </row>
    <row r="7" spans="1:5" ht="14.25" customHeight="1" x14ac:dyDescent="0.3">
      <c r="A7" s="15" t="s">
        <v>96</v>
      </c>
      <c r="B7" s="16">
        <f>IFERROR(B3/B5,0)</f>
        <v>4.4839999999999955</v>
      </c>
    </row>
    <row r="8" spans="1:5" ht="14.25" customHeight="1" x14ac:dyDescent="0.3">
      <c r="A8" s="15" t="s">
        <v>97</v>
      </c>
      <c r="B8" s="17">
        <f>COUNTIF('Daily Log'!I2:I248,"Done")</f>
        <v>25</v>
      </c>
    </row>
    <row r="9" spans="1:5" ht="14.25" customHeight="1" x14ac:dyDescent="0.3">
      <c r="A9" s="15" t="s">
        <v>98</v>
      </c>
      <c r="B9" s="17">
        <f>COUNTIF('Daily Log'!I2:I248,"In Progress")</f>
        <v>1</v>
      </c>
    </row>
    <row r="10" spans="1:5" ht="14.25" customHeight="1" x14ac:dyDescent="0.3">
      <c r="A10" s="15" t="s">
        <v>99</v>
      </c>
      <c r="B10" s="17">
        <f>COUNTIF('Daily Log'!I2:I248,"Blocked")</f>
        <v>9</v>
      </c>
    </row>
    <row r="11" spans="1:5" ht="14.25" customHeight="1" x14ac:dyDescent="0.3">
      <c r="A11" s="15" t="s">
        <v>100</v>
      </c>
      <c r="B11" s="19">
        <f>IFERROR(B8/B4,0)</f>
        <v>0.65789473684210531</v>
      </c>
    </row>
    <row r="13" spans="1:5" ht="15" customHeight="1" x14ac:dyDescent="0.3">
      <c r="A13" s="20" t="s">
        <v>101</v>
      </c>
      <c r="D13" s="20" t="s">
        <v>102</v>
      </c>
    </row>
    <row r="14" spans="1:5" ht="14.25" customHeight="1" x14ac:dyDescent="0.3">
      <c r="A14" s="15" t="s">
        <v>30</v>
      </c>
      <c r="B14" s="16">
        <f>SUMIF('Daily Log'!F2:F248,A14,'Daily Log'!H2:H248)</f>
        <v>4.0999999999999996</v>
      </c>
      <c r="D14" s="15" t="s">
        <v>103</v>
      </c>
      <c r="E14" s="16">
        <f>SUMIF('Daily Log'!C2:C248,1,'Daily Log'!H2:H248)</f>
        <v>22.42</v>
      </c>
    </row>
    <row r="15" spans="1:5" ht="14.25" customHeight="1" x14ac:dyDescent="0.3">
      <c r="A15" s="15" t="s">
        <v>49</v>
      </c>
      <c r="B15" s="16">
        <f>SUMIF('Daily Log'!F2:F248,A15,'Daily Log'!H2:H248)</f>
        <v>0.5</v>
      </c>
      <c r="D15" s="15" t="s">
        <v>104</v>
      </c>
      <c r="E15" s="16">
        <f>SUMIF('Daily Log'!C2:C248,2,'Daily Log'!H2:H248)</f>
        <v>0</v>
      </c>
    </row>
    <row r="16" spans="1:5" ht="14.25" customHeight="1" x14ac:dyDescent="0.3">
      <c r="A16" s="15" t="s">
        <v>12</v>
      </c>
      <c r="B16" s="16">
        <f>SUMIF('Daily Log'!F2:F248,A16,'Daily Log'!H2:H248)</f>
        <v>16.700000000000003</v>
      </c>
      <c r="D16" s="15" t="s">
        <v>105</v>
      </c>
      <c r="E16" s="16">
        <f>SUMIF('Daily Log'!C2:C248,3,'Daily Log'!H2:H248)</f>
        <v>0</v>
      </c>
    </row>
    <row r="17" spans="1:5" ht="14.25" customHeight="1" x14ac:dyDescent="0.3">
      <c r="A17" s="15" t="s">
        <v>106</v>
      </c>
      <c r="B17" s="16">
        <f>SUMIF('Daily Log'!F2:F248,A17,'Daily Log'!H2:H248)</f>
        <v>0</v>
      </c>
      <c r="D17" s="15" t="s">
        <v>107</v>
      </c>
      <c r="E17" s="16">
        <f>SUMIF('Daily Log'!C2:C248,4,'Daily Log'!H2:H248)</f>
        <v>0</v>
      </c>
    </row>
    <row r="18" spans="1:5" ht="14.25" customHeight="1" x14ac:dyDescent="0.3">
      <c r="A18" s="15" t="s">
        <v>108</v>
      </c>
      <c r="B18" s="16">
        <f>SUMIF('Daily Log'!F2:F248,A18,'Daily Log'!H2:H248)</f>
        <v>0</v>
      </c>
      <c r="D18" s="15" t="s">
        <v>109</v>
      </c>
      <c r="E18" s="16">
        <f>SUMIF('Daily Log'!C2:C248,5,'Daily Log'!H2:H248)</f>
        <v>0</v>
      </c>
    </row>
    <row r="19" spans="1:5" ht="14.25" customHeight="1" x14ac:dyDescent="0.3">
      <c r="A19" s="15" t="s">
        <v>110</v>
      </c>
      <c r="B19" s="16">
        <f>SUMIF('Daily Log'!F2:F248,A19,'Daily Log'!H2:H248)</f>
        <v>0</v>
      </c>
      <c r="D19" s="15" t="s">
        <v>111</v>
      </c>
      <c r="E19" s="16">
        <f>SUMIF('Daily Log'!C2:C248,6,'Daily Log'!H2:H248)</f>
        <v>0</v>
      </c>
    </row>
    <row r="20" spans="1:5" ht="14.25" customHeight="1" x14ac:dyDescent="0.3">
      <c r="A20" s="15" t="s">
        <v>112</v>
      </c>
      <c r="B20" s="16">
        <f>SUMIF('Daily Log'!F2:F248,A20,'Daily Log'!H2:H248)</f>
        <v>0</v>
      </c>
    </row>
    <row r="21" spans="1:5" ht="14.25" customHeight="1" x14ac:dyDescent="0.3">
      <c r="A21" s="15" t="s">
        <v>113</v>
      </c>
      <c r="B21" s="16">
        <f>SUMIF('Daily Log'!F2:F248,A21,'Daily Log'!H2:H248)</f>
        <v>0</v>
      </c>
    </row>
    <row r="22" spans="1:5" ht="14.25" customHeight="1" x14ac:dyDescent="0.3">
      <c r="A22" s="15" t="s">
        <v>114</v>
      </c>
      <c r="B22" s="16">
        <f>SUMIF('Daily Log'!F2:F248,A22,'Daily Log'!H2:H248)</f>
        <v>0</v>
      </c>
    </row>
    <row r="23" spans="1:5" ht="14.25" customHeight="1" x14ac:dyDescent="0.3">
      <c r="A23" s="15" t="s">
        <v>27</v>
      </c>
      <c r="B23" s="16">
        <f>SUMIF('Daily Log'!F2:F248,A23,'Daily Log'!H2:H248)</f>
        <v>1.1200000000000001</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 Log</vt:lpstr>
      <vt:lpstr>Sprint Plan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maamoun youssef</cp:lastModifiedBy>
  <cp:revision>0</cp:revision>
  <dcterms:created xsi:type="dcterms:W3CDTF">2026-05-04T07:29:07Z</dcterms:created>
  <dcterms:modified xsi:type="dcterms:W3CDTF">2026-05-11T12:50:28Z</dcterms:modified>
  <dc:language>en-US</dc:language>
</cp:coreProperties>
</file>